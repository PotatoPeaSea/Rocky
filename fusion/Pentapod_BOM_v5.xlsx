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Printed Part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<sst xmlns="http://schemas.openxmlformats.org/spreadsheetml/2006/main" count="586" uniqueCount="317">
  <si>
    <t xml:space="preserve">Pentapod Walker - Bill of Materials (v5)</t>
  </si>
  <si>
    <t xml:space="preserve">Blue = input you can edit (qty, price). Prices in USD; "est." prices are typical retail and should be checked. Printed parts: see the Printed Parts sheet.</t>
  </si>
  <si>
    <t xml:space="preserve">#</t>
  </si>
  <si>
    <t xml:space="preserve">Category</t>
  </si>
  <si>
    <t xml:space="preserve">Item</t>
  </si>
  <si>
    <t xml:space="preserve">Specification / part number</t>
  </si>
  <si>
    <t xml:space="preserve">Qty</t>
  </si>
  <si>
    <t xml:space="preserve">Unit</t>
  </si>
  <si>
    <t xml:space="preserve">Unit price (USD)</t>
  </si>
  <si>
    <t xml:space="preserve">Ext. price (USD)</t>
  </si>
  <si>
    <t xml:space="preserve">Optional?</t>
  </si>
  <si>
    <t xml:space="preserve">Price basis</t>
  </si>
  <si>
    <t xml:space="preserve">Where to buy</t>
  </si>
  <si>
    <t xml:space="preserve">CAD model in assembly</t>
  </si>
  <si>
    <t xml:space="preserve">Notes / where used</t>
  </si>
  <si>
    <t xml:space="preserve">Actuation</t>
  </si>
  <si>
    <t xml:space="preserve">Serial bus servo</t>
  </si>
  <si>
    <t xml:space="preserve">Hiwonder HX-30HM (30 kg.cm @ 11.1 V, 9-12.6 V, magnetic encoder, dual shaft)</t>
  </si>
  <si>
    <t xml:space="preserve">pc</t>
  </si>
  <si>
    <t xml:space="preserve">No</t>
  </si>
  <si>
    <t xml:space="preserve">Listed price</t>
  </si>
  <si>
    <t xml:space="preserve">hiwonder.com/products/hx-30hm</t>
  </si>
  <si>
    <t xml:space="preserve">Your "Hiwonder HX-35HM v3.step", placed 15x</t>
  </si>
  <si>
    <t xml:space="preserve">IDs 1-15. The 15 stock 20 cm cables cover everything: 10 daisy-chain hip-&gt;femur-&gt;knee (modelled 138 mm each) and 5 are cut for the hub branches (longest conductor 144 mm)</t>
  </si>
  <si>
    <t xml:space="preserve">Controls &amp; electronics</t>
  </si>
  <si>
    <t xml:space="preserve">Electronics</t>
  </si>
  <si>
    <t xml:space="preserve">Microcontroller</t>
  </si>
  <si>
    <t xml:space="preserve">Espressif ESP32-DevKitC-32E (38-pin)</t>
  </si>
  <si>
    <t xml:space="preserve">est.</t>
  </si>
  <si>
    <t xml:space="preserve">DigiKey / Mouser</t>
  </si>
  <si>
    <t xml:space="preserve">GrabCAD "ESP32-DevKitC V4" (Andrei Golyakov)</t>
  </si>
  <si>
    <t xml:space="preserve">On female headers on the carrier perfboard, logic deck</t>
  </si>
  <si>
    <t xml:space="preserve">Servo bus interface</t>
  </si>
  <si>
    <t xml:space="preserve">Hiwonder BusLinker V3.0 (USB-C + TTL, 5-14 V)</t>
  </si>
  <si>
    <t xml:space="preserve">openelab.com (Hiwonder)</t>
  </si>
  <si>
    <t xml:space="preserve">Modelled from Hiwonder dimension drawing (no vendor CAD exists)</t>
  </si>
  <si>
    <t xml:space="preserve">Replaces the 74HCT126/74LVC1G125 buffer. Hub SIG -&gt; its 5264 port; powered from the hub through its terminal block</t>
  </si>
  <si>
    <t xml:space="preserve">IMU</t>
  </si>
  <si>
    <t xml:space="preserve">Adafruit BNO085 9-DOF fusion breakout, STEMMA QT (#4754)</t>
  </si>
  <si>
    <t xml:space="preserve">adafruit.com/product/4754</t>
  </si>
  <si>
    <t xml:space="preserve">GrabCAD "Adafruit BNO085 9-DOF IMU STEMMA QT"</t>
  </si>
  <si>
    <t xml:space="preserve">Logic deck; I2C to the ESP32; on-chip sensor fusion gives orientation directly</t>
  </si>
  <si>
    <t xml:space="preserve">IMU cable</t>
  </si>
  <si>
    <t xml:space="preserve">STEMMA QT / Qwiic JST-SH 4-pin to female sockets, 150 mm (Adafruit #4397)</t>
  </si>
  <si>
    <t xml:space="preserve">adafruit.com</t>
  </si>
  <si>
    <t xml:space="preserve">Modelled cable (45 mm route)</t>
  </si>
  <si>
    <t xml:space="preserve">BNO085 -&gt; ESP32 3V3/GND/SDA/SCL</t>
  </si>
  <si>
    <t xml:space="preserve">Gamepad</t>
  </si>
  <si>
    <t xml:space="preserve">Bluetooth gamepad supported by Bluepad32 (e.g. 8BitDo / Xbox / DualShock)</t>
  </si>
  <si>
    <t xml:space="preserve">Any</t>
  </si>
  <si>
    <t xml:space="preserve">-</t>
  </si>
  <si>
    <t xml:space="preserve">Skip if you already own one</t>
  </si>
  <si>
    <t xml:space="preserve">Buck converter (ESP32)</t>
  </si>
  <si>
    <t xml:space="preserve">LM2596 3 A module (HW-411), set to 5.0 V</t>
  </si>
  <si>
    <t xml:space="preserve">Amazon / AliExpress</t>
  </si>
  <si>
    <t xml:space="preserve">GrabCAD "DC-DC LM2596 3A Step Down Converter Module" (Aleksey Zablotskiy)</t>
  </si>
  <si>
    <t xml:space="preserve">Top plate; input tapped off the Pololu input pins, 5 V up to the ESP32</t>
  </si>
  <si>
    <t xml:space="preserve">Bulk capacitor</t>
  </si>
  <si>
    <t xml:space="preserve">1000 uF 25 V low-ESR electrolytic, 10 x 20 mm</t>
  </si>
  <si>
    <t xml:space="preserve">GrabCAD "10 mm diameter Electrolytic capacitors radial" (D10 H20)</t>
  </si>
  <si>
    <t xml:space="preserve">Centre of the WAGO holder, leads soldered to the V+ and GND bridge wires (the rails have no free port)</t>
  </si>
  <si>
    <t xml:space="preserve">Battery-sense divider</t>
  </si>
  <si>
    <t xml:space="preserve">100 k + 22 k resistors</t>
  </si>
  <si>
    <t xml:space="preserve">On the ESP32 carrier, to GPIO34 (ADC1)</t>
  </si>
  <si>
    <t xml:space="preserve">Perfboard</t>
  </si>
  <si>
    <t xml:space="preserve">3 x 7 cm double-sided FR-4 with M2 corner holes</t>
  </si>
  <si>
    <t xml:space="preserve">GrabCAD "Double Sided FR-4 Perfboards w M2 Corners" (pcb_3x7)</t>
  </si>
  <si>
    <t xml:space="preserve">ESP32 carrier</t>
  </si>
  <si>
    <t xml:space="preserve">Female headers</t>
  </si>
  <si>
    <t xml:space="preserve">1 x 19, 2.54 mm</t>
  </si>
  <si>
    <t xml:space="preserve">GrabCAD "Straight Round Female Pin Header 2.54 mm" (x38)</t>
  </si>
  <si>
    <t xml:space="preserve">ESP32 socket on the carrier</t>
  </si>
  <si>
    <t xml:space="preserve">Single-board computer</t>
  </si>
  <si>
    <t xml:space="preserve">Raspberry Pi 5, 4 GB</t>
  </si>
  <si>
    <t xml:space="preserve">Raspberry Pi approved resellers</t>
  </si>
  <si>
    <t xml:space="preserve">Official Pi 5 STEP (simplified: parts &lt; 3 mm removed, USB stacks as envelopes)</t>
  </si>
  <si>
    <t xml:space="preserve">Logic deck centre; UART to the ESP32. Pi prices rose twice in 2026, check current price</t>
  </si>
  <si>
    <t xml:space="preserve">Pi cooler</t>
  </si>
  <si>
    <t xml:space="preserve">Raspberry Pi Active Cooler</t>
  </si>
  <si>
    <t xml:space="preserve">Raspberry Pi resellers</t>
  </si>
  <si>
    <t xml:space="preserve">GrabCAD "Raspberry Pi 5 + Stock Active cooler" (cooler extracted, matches the Pi 5 pin holes)</t>
  </si>
  <si>
    <t xml:space="preserve">microSD card</t>
  </si>
  <si>
    <t xml:space="preserve">32 GB A2 class</t>
  </si>
  <si>
    <t xml:space="preserve">Raspberry Pi OS</t>
  </si>
  <si>
    <t xml:space="preserve">Pi 5 V regulator</t>
  </si>
  <si>
    <t xml:space="preserve">Pololu D36V50F5, 5 V 5.5 A step-down</t>
  </si>
  <si>
    <t xml:space="preserve">pololu.com/product/4091</t>
  </si>
  <si>
    <t xml:space="preserve">Pololu official STEP (d36v50fx-step-down-voltage-regulator.step)</t>
  </si>
  <si>
    <t xml:space="preserve">Logic deck, mounted caps-up; battery -&gt; 5 V for the Pi only</t>
  </si>
  <si>
    <t xml:space="preserve">USB-C power pigtail</t>
  </si>
  <si>
    <t xml:space="preserve">Right-angle USB-C male to 4-pin bare wire</t>
  </si>
  <si>
    <t xml:space="preserve">GrabCAD "Right Angle USB C to 4 Pin Bare Wire" (plug end)</t>
  </si>
  <si>
    <t xml:space="preserve">Pololu VOUT -&gt; Pi USB-C; set usb_max_current_enable=1 in config.txt</t>
  </si>
  <si>
    <t xml:space="preserve">Dupont jumpers</t>
  </si>
  <si>
    <t xml:space="preserve">F-F 20 cm</t>
  </si>
  <si>
    <t xml:space="preserve">Modelled routes (65 mm Pi UART, 195 mm BusLinker TTL)</t>
  </si>
  <si>
    <t xml:space="preserve">ESP32 &lt;-&gt; Pi GPIO14/15/GND and ESP32 UART2 &lt;-&gt; BusLinker TTL</t>
  </si>
  <si>
    <t xml:space="preserve">Power</t>
  </si>
  <si>
    <t xml:space="preserve">Battery</t>
  </si>
  <si>
    <t xml:space="preserve">Gens Ace G-Tech 3S 2200 mAh 25C LiPo, XT60</t>
  </si>
  <si>
    <t xml:space="preserve">buddyrc.com</t>
  </si>
  <si>
    <t xml:space="preserve">GrabCAD "3s Turnigy Li-Po battery" (Khalil Kosbi), same footprint</t>
  </si>
  <si>
    <t xml:space="preserve">~15-20 min walking; never use an HV pack (servos max 12.6 V)</t>
  </si>
  <si>
    <t xml:space="preserve">Power hub</t>
  </si>
  <si>
    <t xml:space="preserve">WAGO 221-415 lever connector, 5-way, 24-12 AWG</t>
  </si>
  <si>
    <t xml:space="preserve">Amazon / DigiKey</t>
  </si>
  <si>
    <t xml:space="preserve">GrabCAD "Wago 221-415" (x6)</t>
  </si>
  <si>
    <t xml:space="preserve">2 per rail (V+, GND, SIG) on opposite sides of the hub, joined by a bridge wire; star topology, 1 cut stock cable per leg</t>
  </si>
  <si>
    <t xml:space="preserve">XT60 connector pairs</t>
  </si>
  <si>
    <t xml:space="preserve">Amass XT60 male + female</t>
  </si>
  <si>
    <t xml:space="preserve">pair</t>
  </si>
  <si>
    <t xml:space="preserve">Amazon / RC shops</t>
  </si>
  <si>
    <t xml:space="preserve">GrabCAD "Amass XT-60H-M" + "XT60 Female connector" + "XT60 Male connector" (Baco)</t>
  </si>
  <si>
    <t xml:space="preserve">Battery lead + loop key (socket in the bottom plate, shorting plug)</t>
  </si>
  <si>
    <t xml:space="preserve">Fuse + holder</t>
  </si>
  <si>
    <t xml:space="preserve">Inline mini-blade (ATM) holder, 12-14 AWG, + 20 A fuse</t>
  </si>
  <si>
    <t xml:space="preserve">set</t>
  </si>
  <si>
    <t xml:space="preserve">Amazon / auto parts / McMaster 8110K6</t>
  </si>
  <si>
    <t xml:space="preserve">GrabCAD "Inline Fuse Holder w/ Indicator"</t>
  </si>
  <si>
    <t xml:space="preserve">Between the plates, above the battery</t>
  </si>
  <si>
    <t xml:space="preserve">Power wire</t>
  </si>
  <si>
    <t xml:space="preserve">Silicone 14 AWG, red + black</t>
  </si>
  <si>
    <t xml:space="preserve">m</t>
  </si>
  <si>
    <t xml:space="preserve">Modelled 14 AWG runs (~0.8 m incl. rail bridges)</t>
  </si>
  <si>
    <t xml:space="preserve">XT60 -&gt; fuse -&gt; loop key -&gt; hub, negative -&gt; hub, V+ and GND bridges</t>
  </si>
  <si>
    <t xml:space="preserve">Pi feed wire</t>
  </si>
  <si>
    <t xml:space="preserve">Silicone 18 AWG, red + black</t>
  </si>
  <si>
    <t xml:space="preserve">Modelled 18 AWG pair (120-170 mm)</t>
  </si>
  <si>
    <t xml:space="preserve">Hub -&gt; Pololu regulator</t>
  </si>
  <si>
    <t xml:space="preserve">Signal / 5 V wire</t>
  </si>
  <si>
    <t xml:space="preserve">Silicone 22 AWG</t>
  </si>
  <si>
    <t xml:space="preserve">Amazon</t>
  </si>
  <si>
    <t xml:space="preserve">LM2596 feed + 5 V, BusLinker power, SIG bridge, battery sense</t>
  </si>
  <si>
    <t xml:space="preserve">Heat-shrink assortment</t>
  </si>
  <si>
    <t xml:space="preserve">2-6 mm</t>
  </si>
  <si>
    <t xml:space="preserve">Cut stock-cable ends, cap leads, bridge splices</t>
  </si>
  <si>
    <t xml:space="preserve">LiPo balance charger</t>
  </si>
  <si>
    <t xml:space="preserve">3S balance charger</t>
  </si>
  <si>
    <t xml:space="preserve">Yes</t>
  </si>
  <si>
    <t xml:space="preserve">RC shops</t>
  </si>
  <si>
    <t xml:space="preserve">LiPo-safe bag</t>
  </si>
  <si>
    <t xml:space="preserve">Fire-resistant charging bag</t>
  </si>
  <si>
    <t xml:space="preserve">Fasteners &amp; hardware</t>
  </si>
  <si>
    <t xml:space="preserve">Fasteners</t>
  </si>
  <si>
    <t xml:space="preserve">Screw M2 x 6</t>
  </si>
  <si>
    <t xml:space="preserve">M2 socket/pan head, steel</t>
  </si>
  <si>
    <t xml:space="preserve">McMaster / Amazon kit</t>
  </si>
  <si>
    <t xml:space="preserve">Femur arms -&gt; femur-servo horns (4 per horn)</t>
  </si>
  <si>
    <t xml:space="preserve">Screw M2 x 8</t>
  </si>
  <si>
    <t xml:space="preserve">M2 pan head</t>
  </si>
  <si>
    <t xml:space="preserve">Chassis plates -&gt; hip-servo case (6 per hip); check tapped-hole depth</t>
  </si>
  <si>
    <t xml:space="preserve">Screw M2 x 10</t>
  </si>
  <si>
    <t xml:space="preserve">M2 socket head</t>
  </si>
  <si>
    <t xml:space="preserve">Tibia bosses -&gt; knee-servo horns</t>
  </si>
  <si>
    <t xml:space="preserve">Screw M2 x 12</t>
  </si>
  <si>
    <t xml:space="preserve">Coxa + top arm -&gt; hip-servo horns</t>
  </si>
  <si>
    <t xml:space="preserve">Screw M2 x 8 (plastic)</t>
  </si>
  <si>
    <t xml:space="preserve">Thread-forming for plastics</t>
  </si>
  <si>
    <t xml:space="preserve">McMaster</t>
  </si>
  <si>
    <t xml:space="preserve">ESP32 perfboard (4) + Pololu (3) -&gt; deck bosses</t>
  </si>
  <si>
    <t xml:space="preserve">Screw M2.5 x 6 (plastic)</t>
  </si>
  <si>
    <t xml:space="preserve">Pi 5, BusLinker, BNO085 -&gt; deck bosses (4 each)</t>
  </si>
  <si>
    <t xml:space="preserve">Screw M3 x 12 (plastic)</t>
  </si>
  <si>
    <t xml:space="preserve">Thread-forming for plastics (e.g. EJOT PT / Delta PT)</t>
  </si>
  <si>
    <t xml:space="preserve">Coxa top arm -&gt; coxa (20), WAGO holder -&gt; top plate (3), LM2596 -&gt; top-plate bosses (2)</t>
  </si>
  <si>
    <t xml:space="preserve">Screw M3 x 10 (plastic)</t>
  </si>
  <si>
    <t xml:space="preserve">Femur lid -&gt; femur (4 per leg)</t>
  </si>
  <si>
    <t xml:space="preserve">Screw M3 x 60</t>
  </si>
  <si>
    <t xml:space="preserve">M3 socket head</t>
  </si>
  <si>
    <t xml:space="preserve">McMaster / Amazon</t>
  </si>
  <si>
    <t xml:space="preserve">Tibia halves (2 per leg)</t>
  </si>
  <si>
    <t xml:space="preserve">Nyloc nut M3</t>
  </si>
  <si>
    <t xml:space="preserve">Tibia bolts</t>
  </si>
  <si>
    <t xml:space="preserve">Threaded rod M3 x 100</t>
  </si>
  <si>
    <t xml:space="preserve">Steel, cut from 1 m rod</t>
  </si>
  <si>
    <t xml:space="preserve">Hardware store</t>
  </si>
  <si>
    <t xml:space="preserve">Simple bodies (M3 tie rod 1-5)</t>
  </si>
  <si>
    <t xml:space="preserve">Clamps bottom plate + standoff + top plate + lower post + logic deck + upper post</t>
  </si>
  <si>
    <t xml:space="preserve">Hex nut M3</t>
  </si>
  <si>
    <t xml:space="preserve">Tie rods (underside + post nut trap)</t>
  </si>
  <si>
    <t xml:space="preserve">Washer M3</t>
  </si>
  <si>
    <t xml:space="preserve">Tie rods, underside</t>
  </si>
  <si>
    <t xml:space="preserve">Screw M3 x 8 button head</t>
  </si>
  <si>
    <t xml:space="preserve">Battery tray -&gt; bottom plate</t>
  </si>
  <si>
    <t xml:space="preserve">Heat-set insert M3</t>
  </si>
  <si>
    <t xml:space="preserve">M3 x 5.7, for 4.0 mm hole (e.g. Ruthex RX-M3x5.7)</t>
  </si>
  <si>
    <t xml:space="preserve">Amazon / Ruthex</t>
  </si>
  <si>
    <t xml:space="preserve">GrabCAD "M3 Heat Set Screw Inserts" (Alex Xela)</t>
  </si>
  <si>
    <t xml:space="preserve">Battery-tray holes in the bottom plate</t>
  </si>
  <si>
    <t xml:space="preserve">Dowel pin 2 x 20</t>
  </si>
  <si>
    <t xml:space="preserve">Steel dowel (or M2 x 20 + nut)</t>
  </si>
  <si>
    <t xml:space="preserve">Foot cross-pin</t>
  </si>
  <si>
    <t xml:space="preserve">Magnet 8 x 3</t>
  </si>
  <si>
    <t xml:space="preserve">N52 neodymium disc, 8 mm x 3 mm</t>
  </si>
  <si>
    <t xml:space="preserve">Amazon / K&amp;J Magnetics</t>
  </si>
  <si>
    <t xml:space="preserve">Simple bodies (Magnet 8x3)</t>
  </si>
  <si>
    <t xml:space="preserve">5 in posts + 5 in dome; check polarity</t>
  </si>
  <si>
    <t xml:space="preserve">Battery strap</t>
  </si>
  <si>
    <t xml:space="preserve">Hook-and-loop strap 20 x 200 mm</t>
  </si>
  <si>
    <t xml:space="preserve">Through the tray strap slots</t>
  </si>
  <si>
    <t xml:space="preserve">Zip ties</t>
  </si>
  <si>
    <t xml:space="preserve">2.5 mm, 100 mm</t>
  </si>
  <si>
    <t xml:space="preserve">Hub conductor ring + leg leads</t>
  </si>
  <si>
    <t xml:space="preserve">EVA foam pad</t>
  </si>
  <si>
    <t xml:space="preserve">2 mm, adhesive</t>
  </si>
  <si>
    <t xml:space="preserve">sheet</t>
  </si>
  <si>
    <t xml:space="preserve">Craft store</t>
  </si>
  <si>
    <t xml:space="preserve">Battery shim</t>
  </si>
  <si>
    <t xml:space="preserve">Filament</t>
  </si>
  <si>
    <t xml:space="preserve">PETG</t>
  </si>
  <si>
    <t xml:space="preserve">1.75 mm PETG</t>
  </si>
  <si>
    <t xml:space="preserve">kg</t>
  </si>
  <si>
    <t xml:space="preserve">Bambu / Polymaker / Sunlu</t>
  </si>
  <si>
    <t xml:space="preserve">All printed parts except feet</t>
  </si>
  <si>
    <t xml:space="preserve">Qty from the Printed Parts sheet; buy 1 spool</t>
  </si>
  <si>
    <t xml:space="preserve">TPU 95A</t>
  </si>
  <si>
    <t xml:space="preserve">1.75 mm TPU 95A</t>
  </si>
  <si>
    <t xml:space="preserve">Bambu / Polymaker</t>
  </si>
  <si>
    <t xml:space="preserve">Foot (TPU)</t>
  </si>
  <si>
    <t xml:space="preserve">Qty from the Printed Parts sheet; small amount</t>
  </si>
  <si>
    <t xml:space="preserve">Total - required</t>
  </si>
  <si>
    <t xml:space="preserve">Total - optional items</t>
  </si>
  <si>
    <t xml:space="preserve">Total - everything</t>
  </si>
  <si>
    <t xml:space="preserve">Servos as share of required</t>
  </si>
  <si>
    <t xml:space="preserve">Prices exclude shipping and tax. Hiwonder offers free shipping over US$499.</t>
  </si>
  <si>
    <t xml:space="preserve">Printed parts (from v5 body volumes)</t>
  </si>
  <si>
    <t xml:space="preserve">Volumes are solid-body volumes measured from the v5 build geometry. Edit the blue assumptions in rows 4-7 to match your slicer.</t>
  </si>
  <si>
    <t xml:space="preserve">PETG density (g/cm3)</t>
  </si>
  <si>
    <t xml:space="preserve">Typical PETG datasheet value</t>
  </si>
  <si>
    <t xml:space="preserve">TPU 95A density (g/cm3)</t>
  </si>
  <si>
    <t xml:space="preserve">Typical TPU 95A datasheet value</t>
  </si>
  <si>
    <t xml:space="preserve">Effective fill factor</t>
  </si>
  <si>
    <t xml:space="preserve">Fraction of solid volume actually printed (walls + ~25% infill); thin parts print near-solid</t>
  </si>
  <si>
    <t xml:space="preserve">Spool size (kg)</t>
  </si>
  <si>
    <t xml:space="preserve">Standard 1 kg spool</t>
  </si>
  <si>
    <t xml:space="preserve">Part</t>
  </si>
  <si>
    <t xml:space="preserve">Group</t>
  </si>
  <si>
    <t xml:space="preserve">Material</t>
  </si>
  <si>
    <t xml:space="preserve">Volume each (cm3)</t>
  </si>
  <si>
    <t xml:space="preserve">Total volume (cm3)</t>
  </si>
  <si>
    <t xml:space="preserve">Est. mass (g)</t>
  </si>
  <si>
    <t xml:space="preserve">Bounding box (mm)</t>
  </si>
  <si>
    <t xml:space="preserve">Print orientation / notes</t>
  </si>
  <si>
    <t xml:space="preserve">Coxa</t>
  </si>
  <si>
    <t xml:space="preserve">Leg</t>
  </si>
  <si>
    <t xml:space="preserve">77 x 38 x 51</t>
  </si>
  <si>
    <t xml:space="preserve">Bottom arm on the bed; no supports</t>
  </si>
  <si>
    <t xml:space="preserve">Coxa Top Arm</t>
  </si>
  <si>
    <t xml:space="preserve">77 x 30 x 11</t>
  </si>
  <si>
    <t xml:space="preserve">Flat plate on the bed, horn boss up</t>
  </si>
  <si>
    <t xml:space="preserve">Femur</t>
  </si>
  <si>
    <t xml:space="preserve">113 x 43 x 30</t>
  </si>
  <si>
    <t xml:space="preserve">Upside down (cradle top on the bed); small support under the arm discs; 7 x 7 cable slot in the -y arm</t>
  </si>
  <si>
    <t xml:space="preserve">Femur Lid</t>
  </si>
  <si>
    <t xml:space="preserve">61 x 30 x 4</t>
  </si>
  <si>
    <t xml:space="preserve">Flat</t>
  </si>
  <si>
    <t xml:space="preserve">Tibia half A (+y)</t>
  </si>
  <si>
    <t xml:space="preserve">36 x 27 x 138</t>
  </si>
  <si>
    <t xml:space="preserve">Lying on the y=0 cut face</t>
  </si>
  <si>
    <t xml:space="preserve">Tibia half B (-y)</t>
  </si>
  <si>
    <t xml:space="preserve">Foot</t>
  </si>
  <si>
    <t xml:space="preserve">TPU</t>
  </si>
  <si>
    <t xml:space="preserve">20 x 20 x 24</t>
  </si>
  <si>
    <t xml:space="preserve">Tip up; TPU 95A</t>
  </si>
  <si>
    <t xml:space="preserve">Bottom Plate</t>
  </si>
  <si>
    <t xml:space="preserve">Chassis</t>
  </si>
  <si>
    <t xml:space="preserve">238 x 229 x 9</t>
  </si>
  <si>
    <t xml:space="preserve">Flat, pocket rings up; battery hatch + loop-key cutout + 4 insert holes</t>
  </si>
  <si>
    <t xml:space="preserve">Top Plate</t>
  </si>
  <si>
    <t xml:space="preserve">238 x 229 x 12</t>
  </si>
  <si>
    <t xml:space="preserve">Flat, pocket rings up; branch slot over each hip connector, power slot, LM2596 bosses</t>
  </si>
  <si>
    <t xml:space="preserve">Plate Standoff</t>
  </si>
  <si>
    <t xml:space="preserve">9 x 9 x 32</t>
  </si>
  <si>
    <t xml:space="preserve">Vertical</t>
  </si>
  <si>
    <t xml:space="preserve">WAGO Hub Holder</t>
  </si>
  <si>
    <t xml:space="preserve">94 x 94 x 8</t>
  </si>
  <si>
    <t xml:space="preserve">Flat; hexagonal stop holds 6 x 221-415, centre pocket for the 1000 uF can</t>
  </si>
  <si>
    <t xml:space="preserve">Battery Tray</t>
  </si>
  <si>
    <t xml:space="preserve">128 x 60 x 15</t>
  </si>
  <si>
    <t xml:space="preserve">Open side up; strap slots print as bridges</t>
  </si>
  <si>
    <t xml:space="preserve">Dome Post lower</t>
  </si>
  <si>
    <t xml:space="preserve">12 x 12 x 32</t>
  </si>
  <si>
    <t xml:space="preserve">Dome Post upper</t>
  </si>
  <si>
    <t xml:space="preserve">12 x 12 x 23</t>
  </si>
  <si>
    <t xml:space="preserve">Vertical; drop M3 nut into trap at pause, magnet pocket up</t>
  </si>
  <si>
    <t xml:space="preserve">Logic Deck</t>
  </si>
  <si>
    <t xml:space="preserve">189 x 181 x 8.5</t>
  </si>
  <si>
    <t xml:space="preserve">Flat, bosses up; fits 256 bed. Pi 5, ESP32 carrier, BusLinker, Pololu, BNO085</t>
  </si>
  <si>
    <t xml:space="preserve">Dome Apex Cap</t>
  </si>
  <si>
    <t xml:space="preserve">Dome</t>
  </si>
  <si>
    <t xml:space="preserve">80 x 80 x 8</t>
  </si>
  <si>
    <t xml:space="preserve">Rim down</t>
  </si>
  <si>
    <t xml:space="preserve">Dome Sector</t>
  </si>
  <si>
    <t xml:space="preserve">155 x 100 x 65 (max)</t>
  </si>
  <si>
    <t xml:space="preserve">Lying on a radial cut face, brim</t>
  </si>
  <si>
    <t xml:space="preserve">PETG total</t>
  </si>
  <si>
    <t xml:space="preserve">TPU total</t>
  </si>
  <si>
    <t xml:space="preserve">Part count</t>
  </si>
  <si>
    <t xml:space="preserve">Pentapod Walker (Rocky) - BOM notes, v5</t>
  </si>
  <si>
    <t xml:space="preserve">Sources</t>
  </si>
  <si>
    <t xml:space="preserve">HX-30HM price and specs: Hiwonder product page, https://www.hiwonder.com/products/hx-30hm (accessed Oct 2026).</t>
  </si>
  <si>
    <t xml:space="preserve">BusLinker V3.0: price https://openelab.com/products/buslinker-v3-servo-board; dimensions and connector layout from Hiwonder's manual, https://docs.hiwonder.com/projects/BusLinker/en/latest/ (42 x 33 x 15 mm, holes 36 x 28 mm).</t>
  </si>
  <si>
    <t xml:space="preserve">Adafruit BNO085: https://www.adafruit.com/product/4754. Pololu D36V50F5: https://www.pololu.com/product/4091 (STEP from the Resources tab).</t>
  </si>
  <si>
    <t xml:space="preserve">Battery price and size (107 x 33.5 x 22 mm, 173.5 g): BuddyRC Gens Ace 2200 3S 25C listing.</t>
  </si>
  <si>
    <t xml:space="preserve">Raspberry Pi 5: official STEP (pip-assets.raspberrypi.com), simplified for import speed. Pi price: TechSpot, Feb 2026; a further increase was reported in April 2026, so check.</t>
  </si>
  <si>
    <t xml:space="preserve">GrabCAD Community models (downloaded Oct 2026): ESP32-DevKitC V4; 3s Turnigy Li-Po battery; DC-DC LM2596 module; Amass XT-60H-M; XT60 Female / Male connector (Baco); M3 Heat Set Screw Inserts; Wago 221-415; Adafruit BNO085 9-DOF IMU STEMMA QT; Inline Fuse Holder w/ Indicator; Right Angle USB C to 4 Pin Bare Wire; Raspberry Pi 5 + Stock Active cooler; Double Sided FR-4 Perfboards w M2 Corners; 10 mm diameter Electrolytic capacitors radial; Straight Round Female Pin Header 2.54 mm.</t>
  </si>
  <si>
    <t xml:space="preserve">Cable lengths: measured along the modelled v5 harness centre-lines. Every leg conductor fits a cut 20 cm stock cable (longest 144 mm incl. the 35 mm cable run into the chassis).</t>
  </si>
  <si>
    <t xml:space="preserve">Assumptions</t>
  </si>
  <si>
    <t xml:space="preserve">Prices marked "est." are typical single-unit retail; fasteners are usually cheaper in assortment kits.</t>
  </si>
  <si>
    <t xml:space="preserve">The HX-35HM model is used as the HX-30HM reference: both are listed by Hiwonder at 45.2 x 24.7 x 35 mm.</t>
  </si>
  <si>
    <t xml:space="preserve">Filament mass = solid volume x density x effective fill factor (Printed Parts sheet, editable).</t>
  </si>
  <si>
    <t xml:space="preserve">WAGO port budget: V+ and GND use all 10 ports each (battery, 5 legs, BusLinker, Pololu feed, bridge x2); the BusLinker servo-cable GND is left off because its terminal-block GND is the same net.</t>
  </si>
  <si>
    <t xml:space="preserve">Verify before buying / printing</t>
  </si>
  <si>
    <t xml:space="preserve">Horn screw thread (model holes are 1.5 mm, consistent with tapped M2) and depth of the M2 holes in the case.</t>
  </si>
  <si>
    <t xml:space="preserve">Which servo face carries the 5264 connectors; the branch slots assume the far end of the hip-servo case.</t>
  </si>
  <si>
    <t xml:space="preserve">BusLinker TTL logic level (add a pre-built level shifter if it is 5 V) and HX-30HM bus voltage / baud.</t>
  </si>
  <si>
    <t xml:space="preserve">Pololu D36V50F5 pin order (VIN/GND/VOUT columns) before soldering; the model labels are assumptions.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</si>
</sst>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%"/>
    <numFmt numFmtId="167" formatCode="0.0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E46"/>
        <bgColor rgb="FF333300"/>
      </patternFill>
    </fill>
    <fill>
      <patternFill patternType="solid">
        <fgColor rgb="FFE9EEF0"/>
        <bgColor rgb="FFFFF2CC"/>
      </patternFill>
    </fill>
    <fill>
      <patternFill patternType="solid">
        <fgColor rgb="FFFFF2CC"/>
        <bgColor rgb="FFE9EE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D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0D4"/>
      <rgbColor rgb="FF808080"/>
      <rgbColor rgb="FF9999FF"/>
      <rgbColor rgb="FF993366"/>
      <rgbColor rgb="FFFFF2CC"/>
      <rgbColor rgb="FFE9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40"/>
    <col collapsed="false" customWidth="true" hidden="false" outlineLevel="0" max="13" min="13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/>
      <c r="B5" s="5" t="s">
        <v>15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52.2" hidden="false" customHeight="false" outlineLevel="0" collapsed="false">
      <c r="A6" s="6" t="n">
        <v>1</v>
      </c>
      <c r="B6" s="6" t="s">
        <v>15</v>
      </c>
      <c r="C6" s="6" t="s">
        <v>16</v>
      </c>
      <c r="D6" s="6" t="s">
        <v>17</v>
      </c>
      <c r="E6" s="7" t="n">
        <v>15</v>
      </c>
      <c r="F6" s="6" t="s">
        <v>18</v>
      </c>
      <c r="G6" s="8" t="n">
        <v>19.99</v>
      </c>
      <c r="H6" s="9" t="n">
        <f aca="false">IF(ISNUMBER(E6),E6*G6,0)</f>
        <v>299.85</v>
      </c>
      <c r="I6" s="7" t="s">
        <v>19</v>
      </c>
      <c r="J6" s="6" t="s">
        <v>20</v>
      </c>
      <c r="K6" s="6" t="s">
        <v>21</v>
      </c>
      <c r="L6" s="6" t="s">
        <v>22</v>
      </c>
      <c r="M6" s="6" t="s">
        <v>23</v>
      </c>
    </row>
    <row r="7" customFormat="false" ht="15" hidden="false" customHeight="false" outlineLevel="0" collapsed="false">
      <c r="A7" s="4"/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26.85" hidden="false" customHeight="false" outlineLevel="0" collapsed="false">
      <c r="A8" s="6" t="n">
        <v>2</v>
      </c>
      <c r="B8" s="6" t="s">
        <v>25</v>
      </c>
      <c r="C8" s="6" t="s">
        <v>26</v>
      </c>
      <c r="D8" s="6" t="s">
        <v>27</v>
      </c>
      <c r="E8" s="7" t="n">
        <v>1</v>
      </c>
      <c r="F8" s="6" t="s">
        <v>18</v>
      </c>
      <c r="G8" s="8" t="n">
        <v>11</v>
      </c>
      <c r="H8" s="9" t="n">
        <f aca="false">IF(ISNUMBER(E8),E8*G8,0)</f>
        <v>11</v>
      </c>
      <c r="I8" s="7" t="s">
        <v>19</v>
      </c>
      <c r="J8" s="6" t="s">
        <v>28</v>
      </c>
      <c r="K8" s="6" t="s">
        <v>29</v>
      </c>
      <c r="L8" s="6" t="s">
        <v>30</v>
      </c>
      <c r="M8" s="6" t="s">
        <v>31</v>
      </c>
    </row>
    <row r="9" customFormat="false" ht="39.55" hidden="false" customHeight="false" outlineLevel="0" collapsed="false">
      <c r="A9" s="6" t="n">
        <v>3</v>
      </c>
      <c r="B9" s="6" t="s">
        <v>25</v>
      </c>
      <c r="C9" s="6" t="s">
        <v>32</v>
      </c>
      <c r="D9" s="6" t="s">
        <v>33</v>
      </c>
      <c r="E9" s="7" t="n">
        <v>1</v>
      </c>
      <c r="F9" s="6" t="s">
        <v>18</v>
      </c>
      <c r="G9" s="8" t="n">
        <v>9.69</v>
      </c>
      <c r="H9" s="9" t="n">
        <f aca="false">IF(ISNUMBER(E9),E9*G9,0)</f>
        <v>9.69</v>
      </c>
      <c r="I9" s="7" t="s">
        <v>19</v>
      </c>
      <c r="J9" s="6" t="s">
        <v>20</v>
      </c>
      <c r="K9" s="6" t="s">
        <v>34</v>
      </c>
      <c r="L9" s="6" t="s">
        <v>35</v>
      </c>
      <c r="M9" s="6" t="s">
        <v>36</v>
      </c>
    </row>
    <row r="10" customFormat="false" ht="26.85" hidden="false" customHeight="false" outlineLevel="0" collapsed="false">
      <c r="A10" s="6" t="n">
        <v>4</v>
      </c>
      <c r="B10" s="6" t="s">
        <v>25</v>
      </c>
      <c r="C10" s="6" t="s">
        <v>37</v>
      </c>
      <c r="D10" s="6" t="s">
        <v>38</v>
      </c>
      <c r="E10" s="7" t="n">
        <v>1</v>
      </c>
      <c r="F10" s="6" t="s">
        <v>18</v>
      </c>
      <c r="G10" s="8" t="n">
        <v>29.5</v>
      </c>
      <c r="H10" s="9" t="n">
        <f aca="false">IF(ISNUMBER(E10),E10*G10,0)</f>
        <v>29.5</v>
      </c>
      <c r="I10" s="7" t="s">
        <v>19</v>
      </c>
      <c r="J10" s="6" t="s">
        <v>20</v>
      </c>
      <c r="K10" s="6" t="s">
        <v>39</v>
      </c>
      <c r="L10" s="6" t="s">
        <v>40</v>
      </c>
      <c r="M10" s="6" t="s">
        <v>41</v>
      </c>
    </row>
    <row r="11" customFormat="false" ht="26.85" hidden="false" customHeight="false" outlineLevel="0" collapsed="false">
      <c r="A11" s="6" t="n">
        <v>5</v>
      </c>
      <c r="B11" s="6" t="s">
        <v>25</v>
      </c>
      <c r="C11" s="6" t="s">
        <v>42</v>
      </c>
      <c r="D11" s="6" t="s">
        <v>43</v>
      </c>
      <c r="E11" s="7" t="n">
        <v>1</v>
      </c>
      <c r="F11" s="6" t="s">
        <v>18</v>
      </c>
      <c r="G11" s="8" t="n">
        <v>0.95</v>
      </c>
      <c r="H11" s="9" t="n">
        <f aca="false">IF(ISNUMBER(E11),E11*G11,0)</f>
        <v>0.95</v>
      </c>
      <c r="I11" s="7" t="s">
        <v>19</v>
      </c>
      <c r="J11" s="6" t="s">
        <v>28</v>
      </c>
      <c r="K11" s="6" t="s">
        <v>44</v>
      </c>
      <c r="L11" s="6" t="s">
        <v>45</v>
      </c>
      <c r="M11" s="6" t="s">
        <v>46</v>
      </c>
    </row>
    <row r="12" customFormat="false" ht="26.85" hidden="false" customHeight="false" outlineLevel="0" collapsed="false">
      <c r="A12" s="6" t="n">
        <v>6</v>
      </c>
      <c r="B12" s="6" t="s">
        <v>25</v>
      </c>
      <c r="C12" s="6" t="s">
        <v>47</v>
      </c>
      <c r="D12" s="6" t="s">
        <v>48</v>
      </c>
      <c r="E12" s="7" t="n">
        <v>1</v>
      </c>
      <c r="F12" s="6" t="s">
        <v>18</v>
      </c>
      <c r="G12" s="8" t="n">
        <v>25</v>
      </c>
      <c r="H12" s="9" t="n">
        <f aca="false">IF(ISNUMBER(E12),E12*G12,0)</f>
        <v>25</v>
      </c>
      <c r="I12" s="7" t="s">
        <v>19</v>
      </c>
      <c r="J12" s="6" t="s">
        <v>28</v>
      </c>
      <c r="K12" s="6" t="s">
        <v>49</v>
      </c>
      <c r="L12" s="6" t="s">
        <v>50</v>
      </c>
      <c r="M12" s="6" t="s">
        <v>51</v>
      </c>
    </row>
    <row r="13" customFormat="false" ht="26.85" hidden="false" customHeight="false" outlineLevel="0" collapsed="false">
      <c r="A13" s="6" t="n">
        <v>7</v>
      </c>
      <c r="B13" s="6" t="s">
        <v>25</v>
      </c>
      <c r="C13" s="6" t="s">
        <v>52</v>
      </c>
      <c r="D13" s="6" t="s">
        <v>53</v>
      </c>
      <c r="E13" s="7" t="n">
        <v>1</v>
      </c>
      <c r="F13" s="6" t="s">
        <v>18</v>
      </c>
      <c r="G13" s="8" t="n">
        <v>3</v>
      </c>
      <c r="H13" s="9" t="n">
        <f aca="false">IF(ISNUMBER(E13),E13*G13,0)</f>
        <v>3</v>
      </c>
      <c r="I13" s="7" t="s">
        <v>19</v>
      </c>
      <c r="J13" s="6" t="s">
        <v>28</v>
      </c>
      <c r="K13" s="6" t="s">
        <v>54</v>
      </c>
      <c r="L13" s="6" t="s">
        <v>55</v>
      </c>
      <c r="M13" s="6" t="s">
        <v>56</v>
      </c>
    </row>
    <row r="14" customFormat="false" ht="39.55" hidden="false" customHeight="false" outlineLevel="0" collapsed="false">
      <c r="A14" s="6" t="n">
        <v>8</v>
      </c>
      <c r="B14" s="6" t="s">
        <v>25</v>
      </c>
      <c r="C14" s="6" t="s">
        <v>57</v>
      </c>
      <c r="D14" s="6" t="s">
        <v>58</v>
      </c>
      <c r="E14" s="7" t="n">
        <v>1</v>
      </c>
      <c r="F14" s="6" t="s">
        <v>18</v>
      </c>
      <c r="G14" s="8" t="n">
        <v>1</v>
      </c>
      <c r="H14" s="9" t="n">
        <f aca="false">IF(ISNUMBER(E14),E14*G14,0)</f>
        <v>1</v>
      </c>
      <c r="I14" s="7" t="s">
        <v>19</v>
      </c>
      <c r="J14" s="6" t="s">
        <v>28</v>
      </c>
      <c r="K14" s="6" t="s">
        <v>29</v>
      </c>
      <c r="L14" s="6" t="s">
        <v>59</v>
      </c>
      <c r="M14" s="6" t="s">
        <v>60</v>
      </c>
    </row>
    <row r="15" customFormat="false" ht="15" hidden="false" customHeight="false" outlineLevel="0" collapsed="false">
      <c r="A15" s="6" t="n">
        <v>9</v>
      </c>
      <c r="B15" s="6" t="s">
        <v>25</v>
      </c>
      <c r="C15" s="6" t="s">
        <v>61</v>
      </c>
      <c r="D15" s="6" t="s">
        <v>62</v>
      </c>
      <c r="E15" s="7" t="n">
        <v>2</v>
      </c>
      <c r="F15" s="6" t="s">
        <v>18</v>
      </c>
      <c r="G15" s="8" t="n">
        <v>0.1</v>
      </c>
      <c r="H15" s="9" t="n">
        <f aca="false">IF(ISNUMBER(E15),E15*G15,0)</f>
        <v>0.2</v>
      </c>
      <c r="I15" s="7" t="s">
        <v>19</v>
      </c>
      <c r="J15" s="6" t="s">
        <v>28</v>
      </c>
      <c r="K15" s="6" t="s">
        <v>49</v>
      </c>
      <c r="L15" s="6" t="s">
        <v>50</v>
      </c>
      <c r="M15" s="6" t="s">
        <v>63</v>
      </c>
    </row>
    <row r="16" customFormat="false" ht="26.85" hidden="false" customHeight="false" outlineLevel="0" collapsed="false">
      <c r="A16" s="6" t="n">
        <v>10</v>
      </c>
      <c r="B16" s="6" t="s">
        <v>25</v>
      </c>
      <c r="C16" s="6" t="s">
        <v>64</v>
      </c>
      <c r="D16" s="6" t="s">
        <v>65</v>
      </c>
      <c r="E16" s="7" t="n">
        <v>1</v>
      </c>
      <c r="F16" s="6" t="s">
        <v>18</v>
      </c>
      <c r="G16" s="8" t="n">
        <v>1</v>
      </c>
      <c r="H16" s="9" t="n">
        <f aca="false">IF(ISNUMBER(E16),E16*G16,0)</f>
        <v>1</v>
      </c>
      <c r="I16" s="7" t="s">
        <v>19</v>
      </c>
      <c r="J16" s="6" t="s">
        <v>28</v>
      </c>
      <c r="K16" s="6" t="s">
        <v>54</v>
      </c>
      <c r="L16" s="6" t="s">
        <v>66</v>
      </c>
      <c r="M16" s="6" t="s">
        <v>67</v>
      </c>
    </row>
    <row r="17" customFormat="false" ht="26.85" hidden="false" customHeight="false" outlineLevel="0" collapsed="false">
      <c r="A17" s="6" t="n">
        <v>11</v>
      </c>
      <c r="B17" s="6" t="s">
        <v>25</v>
      </c>
      <c r="C17" s="6" t="s">
        <v>68</v>
      </c>
      <c r="D17" s="6" t="s">
        <v>69</v>
      </c>
      <c r="E17" s="7" t="n">
        <v>2</v>
      </c>
      <c r="F17" s="6" t="s">
        <v>18</v>
      </c>
      <c r="G17" s="8" t="n">
        <v>0.5</v>
      </c>
      <c r="H17" s="9" t="n">
        <f aca="false">IF(ISNUMBER(E17),E17*G17,0)</f>
        <v>1</v>
      </c>
      <c r="I17" s="7" t="s">
        <v>19</v>
      </c>
      <c r="J17" s="6" t="s">
        <v>28</v>
      </c>
      <c r="K17" s="6" t="s">
        <v>49</v>
      </c>
      <c r="L17" s="6" t="s">
        <v>70</v>
      </c>
      <c r="M17" s="6" t="s">
        <v>71</v>
      </c>
    </row>
    <row r="18" customFormat="false" ht="26.85" hidden="false" customHeight="false" outlineLevel="0" collapsed="false">
      <c r="A18" s="6" t="n">
        <v>12</v>
      </c>
      <c r="B18" s="6" t="s">
        <v>25</v>
      </c>
      <c r="C18" s="6" t="s">
        <v>72</v>
      </c>
      <c r="D18" s="6" t="s">
        <v>73</v>
      </c>
      <c r="E18" s="7" t="n">
        <v>1</v>
      </c>
      <c r="F18" s="6" t="s">
        <v>18</v>
      </c>
      <c r="G18" s="8" t="n">
        <v>85</v>
      </c>
      <c r="H18" s="9" t="n">
        <f aca="false">IF(ISNUMBER(E18),E18*G18,0)</f>
        <v>85</v>
      </c>
      <c r="I18" s="7" t="s">
        <v>19</v>
      </c>
      <c r="J18" s="6" t="s">
        <v>28</v>
      </c>
      <c r="K18" s="6" t="s">
        <v>74</v>
      </c>
      <c r="L18" s="6" t="s">
        <v>75</v>
      </c>
      <c r="M18" s="6" t="s">
        <v>76</v>
      </c>
    </row>
    <row r="19" customFormat="false" ht="39.55" hidden="false" customHeight="false" outlineLevel="0" collapsed="false">
      <c r="A19" s="6" t="n">
        <v>13</v>
      </c>
      <c r="B19" s="6" t="s">
        <v>25</v>
      </c>
      <c r="C19" s="6" t="s">
        <v>77</v>
      </c>
      <c r="D19" s="6" t="s">
        <v>78</v>
      </c>
      <c r="E19" s="7" t="n">
        <v>1</v>
      </c>
      <c r="F19" s="6" t="s">
        <v>18</v>
      </c>
      <c r="G19" s="8" t="n">
        <v>5</v>
      </c>
      <c r="H19" s="9" t="n">
        <f aca="false">IF(ISNUMBER(E19),E19*G19,0)</f>
        <v>5</v>
      </c>
      <c r="I19" s="7" t="s">
        <v>19</v>
      </c>
      <c r="J19" s="6" t="s">
        <v>28</v>
      </c>
      <c r="K19" s="6" t="s">
        <v>79</v>
      </c>
      <c r="L19" s="6" t="s">
        <v>80</v>
      </c>
      <c r="M19" s="6"/>
    </row>
    <row r="20" customFormat="false" ht="15" hidden="false" customHeight="false" outlineLevel="0" collapsed="false">
      <c r="A20" s="6" t="n">
        <v>14</v>
      </c>
      <c r="B20" s="6" t="s">
        <v>25</v>
      </c>
      <c r="C20" s="6" t="s">
        <v>81</v>
      </c>
      <c r="D20" s="6" t="s">
        <v>82</v>
      </c>
      <c r="E20" s="7" t="n">
        <v>1</v>
      </c>
      <c r="F20" s="6" t="s">
        <v>18</v>
      </c>
      <c r="G20" s="8" t="n">
        <v>10</v>
      </c>
      <c r="H20" s="9" t="n">
        <f aca="false">IF(ISNUMBER(E20),E20*G20,0)</f>
        <v>10</v>
      </c>
      <c r="I20" s="7" t="s">
        <v>19</v>
      </c>
      <c r="J20" s="6" t="s">
        <v>28</v>
      </c>
      <c r="K20" s="6" t="s">
        <v>49</v>
      </c>
      <c r="L20" s="6" t="s">
        <v>50</v>
      </c>
      <c r="M20" s="6" t="s">
        <v>83</v>
      </c>
    </row>
    <row r="21" customFormat="false" ht="26.85" hidden="false" customHeight="false" outlineLevel="0" collapsed="false">
      <c r="A21" s="6" t="n">
        <v>15</v>
      </c>
      <c r="B21" s="6" t="s">
        <v>25</v>
      </c>
      <c r="C21" s="6" t="s">
        <v>84</v>
      </c>
      <c r="D21" s="6" t="s">
        <v>85</v>
      </c>
      <c r="E21" s="7" t="n">
        <v>1</v>
      </c>
      <c r="F21" s="6" t="s">
        <v>18</v>
      </c>
      <c r="G21" s="8" t="n">
        <v>39.95</v>
      </c>
      <c r="H21" s="9" t="n">
        <f aca="false">IF(ISNUMBER(E21),E21*G21,0)</f>
        <v>39.95</v>
      </c>
      <c r="I21" s="7" t="s">
        <v>19</v>
      </c>
      <c r="J21" s="6" t="s">
        <v>20</v>
      </c>
      <c r="K21" s="6" t="s">
        <v>86</v>
      </c>
      <c r="L21" s="6" t="s">
        <v>87</v>
      </c>
      <c r="M21" s="6" t="s">
        <v>88</v>
      </c>
    </row>
    <row r="22" customFormat="false" ht="26.85" hidden="false" customHeight="false" outlineLevel="0" collapsed="false">
      <c r="A22" s="6" t="n">
        <v>16</v>
      </c>
      <c r="B22" s="6" t="s">
        <v>25</v>
      </c>
      <c r="C22" s="6" t="s">
        <v>89</v>
      </c>
      <c r="D22" s="6" t="s">
        <v>90</v>
      </c>
      <c r="E22" s="7" t="n">
        <v>1</v>
      </c>
      <c r="F22" s="6" t="s">
        <v>18</v>
      </c>
      <c r="G22" s="8" t="n">
        <v>4</v>
      </c>
      <c r="H22" s="9" t="n">
        <f aca="false">IF(ISNUMBER(E22),E22*G22,0)</f>
        <v>4</v>
      </c>
      <c r="I22" s="7" t="s">
        <v>19</v>
      </c>
      <c r="J22" s="6" t="s">
        <v>28</v>
      </c>
      <c r="K22" s="6" t="s">
        <v>54</v>
      </c>
      <c r="L22" s="6" t="s">
        <v>91</v>
      </c>
      <c r="M22" s="6" t="s">
        <v>92</v>
      </c>
    </row>
    <row r="23" customFormat="false" ht="26.85" hidden="false" customHeight="false" outlineLevel="0" collapsed="false">
      <c r="A23" s="6" t="n">
        <v>17</v>
      </c>
      <c r="B23" s="6" t="s">
        <v>25</v>
      </c>
      <c r="C23" s="6" t="s">
        <v>93</v>
      </c>
      <c r="D23" s="6" t="s">
        <v>94</v>
      </c>
      <c r="E23" s="7" t="n">
        <v>6</v>
      </c>
      <c r="F23" s="6" t="s">
        <v>18</v>
      </c>
      <c r="G23" s="8" t="n">
        <v>0.1</v>
      </c>
      <c r="H23" s="9" t="n">
        <f aca="false">IF(ISNUMBER(E23),E23*G23,0)</f>
        <v>0.6</v>
      </c>
      <c r="I23" s="7" t="s">
        <v>19</v>
      </c>
      <c r="J23" s="6" t="s">
        <v>28</v>
      </c>
      <c r="K23" s="6" t="s">
        <v>49</v>
      </c>
      <c r="L23" s="6" t="s">
        <v>95</v>
      </c>
      <c r="M23" s="6" t="s">
        <v>96</v>
      </c>
    </row>
    <row r="24" customFormat="false" ht="15" hidden="false" customHeight="false" outlineLevel="0" collapsed="false">
      <c r="A24" s="4"/>
      <c r="B24" s="5" t="s">
        <v>97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26.85" hidden="false" customHeight="false" outlineLevel="0" collapsed="false">
      <c r="A25" s="6" t="n">
        <v>18</v>
      </c>
      <c r="B25" s="6" t="s">
        <v>97</v>
      </c>
      <c r="C25" s="6" t="s">
        <v>98</v>
      </c>
      <c r="D25" s="6" t="s">
        <v>99</v>
      </c>
      <c r="E25" s="7" t="n">
        <v>1</v>
      </c>
      <c r="F25" s="6" t="s">
        <v>18</v>
      </c>
      <c r="G25" s="8" t="n">
        <v>26.79</v>
      </c>
      <c r="H25" s="9" t="n">
        <f aca="false">IF(ISNUMBER(E25),E25*G25,0)</f>
        <v>26.79</v>
      </c>
      <c r="I25" s="7" t="s">
        <v>19</v>
      </c>
      <c r="J25" s="6" t="s">
        <v>20</v>
      </c>
      <c r="K25" s="6" t="s">
        <v>100</v>
      </c>
      <c r="L25" s="6" t="s">
        <v>101</v>
      </c>
      <c r="M25" s="6" t="s">
        <v>102</v>
      </c>
    </row>
    <row r="26" customFormat="false" ht="39.55" hidden="false" customHeight="false" outlineLevel="0" collapsed="false">
      <c r="A26" s="6" t="n">
        <v>19</v>
      </c>
      <c r="B26" s="6" t="s">
        <v>97</v>
      </c>
      <c r="C26" s="6" t="s">
        <v>103</v>
      </c>
      <c r="D26" s="6" t="s">
        <v>104</v>
      </c>
      <c r="E26" s="7" t="n">
        <v>6</v>
      </c>
      <c r="F26" s="6" t="s">
        <v>18</v>
      </c>
      <c r="G26" s="8" t="n">
        <v>1.2</v>
      </c>
      <c r="H26" s="9" t="n">
        <f aca="false">IF(ISNUMBER(E26),E26*G26,0)</f>
        <v>7.2</v>
      </c>
      <c r="I26" s="7" t="s">
        <v>19</v>
      </c>
      <c r="J26" s="6" t="s">
        <v>28</v>
      </c>
      <c r="K26" s="6" t="s">
        <v>105</v>
      </c>
      <c r="L26" s="6" t="s">
        <v>106</v>
      </c>
      <c r="M26" s="6" t="s">
        <v>107</v>
      </c>
    </row>
    <row r="27" customFormat="false" ht="39.55" hidden="false" customHeight="false" outlineLevel="0" collapsed="false">
      <c r="A27" s="6" t="n">
        <v>20</v>
      </c>
      <c r="B27" s="6" t="s">
        <v>97</v>
      </c>
      <c r="C27" s="6" t="s">
        <v>108</v>
      </c>
      <c r="D27" s="6" t="s">
        <v>109</v>
      </c>
      <c r="E27" s="7" t="n">
        <v>2</v>
      </c>
      <c r="F27" s="6" t="s">
        <v>110</v>
      </c>
      <c r="G27" s="8" t="n">
        <v>1.5</v>
      </c>
      <c r="H27" s="9" t="n">
        <f aca="false">IF(ISNUMBER(E27),E27*G27,0)</f>
        <v>3</v>
      </c>
      <c r="I27" s="7" t="s">
        <v>19</v>
      </c>
      <c r="J27" s="6" t="s">
        <v>28</v>
      </c>
      <c r="K27" s="6" t="s">
        <v>111</v>
      </c>
      <c r="L27" s="6" t="s">
        <v>112</v>
      </c>
      <c r="M27" s="6" t="s">
        <v>113</v>
      </c>
    </row>
    <row r="28" customFormat="false" ht="26.85" hidden="false" customHeight="false" outlineLevel="0" collapsed="false">
      <c r="A28" s="6" t="n">
        <v>21</v>
      </c>
      <c r="B28" s="6" t="s">
        <v>97</v>
      </c>
      <c r="C28" s="6" t="s">
        <v>114</v>
      </c>
      <c r="D28" s="6" t="s">
        <v>115</v>
      </c>
      <c r="E28" s="7" t="n">
        <v>1</v>
      </c>
      <c r="F28" s="6" t="s">
        <v>116</v>
      </c>
      <c r="G28" s="8" t="n">
        <v>3</v>
      </c>
      <c r="H28" s="9" t="n">
        <f aca="false">IF(ISNUMBER(E28),E28*G28,0)</f>
        <v>3</v>
      </c>
      <c r="I28" s="7" t="s">
        <v>19</v>
      </c>
      <c r="J28" s="6" t="s">
        <v>28</v>
      </c>
      <c r="K28" s="6" t="s">
        <v>117</v>
      </c>
      <c r="L28" s="6" t="s">
        <v>118</v>
      </c>
      <c r="M28" s="6" t="s">
        <v>119</v>
      </c>
    </row>
    <row r="29" customFormat="false" ht="26.85" hidden="false" customHeight="false" outlineLevel="0" collapsed="false">
      <c r="A29" s="6" t="n">
        <v>22</v>
      </c>
      <c r="B29" s="6" t="s">
        <v>97</v>
      </c>
      <c r="C29" s="6" t="s">
        <v>120</v>
      </c>
      <c r="D29" s="6" t="s">
        <v>121</v>
      </c>
      <c r="E29" s="7" t="n">
        <v>1</v>
      </c>
      <c r="F29" s="6" t="s">
        <v>122</v>
      </c>
      <c r="G29" s="8" t="n">
        <v>2.5</v>
      </c>
      <c r="H29" s="9" t="n">
        <f aca="false">IF(ISNUMBER(E29),E29*G29,0)</f>
        <v>2.5</v>
      </c>
      <c r="I29" s="7" t="s">
        <v>19</v>
      </c>
      <c r="J29" s="6" t="s">
        <v>28</v>
      </c>
      <c r="K29" s="6" t="s">
        <v>111</v>
      </c>
      <c r="L29" s="6" t="s">
        <v>123</v>
      </c>
      <c r="M29" s="6" t="s">
        <v>124</v>
      </c>
    </row>
    <row r="30" customFormat="false" ht="15" hidden="false" customHeight="false" outlineLevel="0" collapsed="false">
      <c r="A30" s="6" t="n">
        <v>23</v>
      </c>
      <c r="B30" s="6" t="s">
        <v>97</v>
      </c>
      <c r="C30" s="6" t="s">
        <v>125</v>
      </c>
      <c r="D30" s="6" t="s">
        <v>126</v>
      </c>
      <c r="E30" s="7" t="n">
        <v>1</v>
      </c>
      <c r="F30" s="6" t="s">
        <v>122</v>
      </c>
      <c r="G30" s="8" t="n">
        <v>1.5</v>
      </c>
      <c r="H30" s="9" t="n">
        <f aca="false">IF(ISNUMBER(E30),E30*G30,0)</f>
        <v>1.5</v>
      </c>
      <c r="I30" s="7" t="s">
        <v>19</v>
      </c>
      <c r="J30" s="6" t="s">
        <v>28</v>
      </c>
      <c r="K30" s="6" t="s">
        <v>111</v>
      </c>
      <c r="L30" s="6" t="s">
        <v>127</v>
      </c>
      <c r="M30" s="6" t="s">
        <v>128</v>
      </c>
    </row>
    <row r="31" customFormat="false" ht="26.85" hidden="false" customHeight="false" outlineLevel="0" collapsed="false">
      <c r="A31" s="6" t="n">
        <v>24</v>
      </c>
      <c r="B31" s="6" t="s">
        <v>97</v>
      </c>
      <c r="C31" s="6" t="s">
        <v>129</v>
      </c>
      <c r="D31" s="6" t="s">
        <v>130</v>
      </c>
      <c r="E31" s="7" t="n">
        <v>2</v>
      </c>
      <c r="F31" s="6" t="s">
        <v>122</v>
      </c>
      <c r="G31" s="8" t="n">
        <v>1</v>
      </c>
      <c r="H31" s="9" t="n">
        <f aca="false">IF(ISNUMBER(E31),E31*G31,0)</f>
        <v>2</v>
      </c>
      <c r="I31" s="7" t="s">
        <v>19</v>
      </c>
      <c r="J31" s="6" t="s">
        <v>28</v>
      </c>
      <c r="K31" s="6" t="s">
        <v>131</v>
      </c>
      <c r="L31" s="6" t="s">
        <v>50</v>
      </c>
      <c r="M31" s="6" t="s">
        <v>132</v>
      </c>
    </row>
    <row r="32" customFormat="false" ht="26.85" hidden="false" customHeight="false" outlineLevel="0" collapsed="false">
      <c r="A32" s="6" t="n">
        <v>25</v>
      </c>
      <c r="B32" s="6" t="s">
        <v>97</v>
      </c>
      <c r="C32" s="6" t="s">
        <v>133</v>
      </c>
      <c r="D32" s="6" t="s">
        <v>134</v>
      </c>
      <c r="E32" s="7" t="n">
        <v>1</v>
      </c>
      <c r="F32" s="6" t="s">
        <v>116</v>
      </c>
      <c r="G32" s="8" t="n">
        <v>4</v>
      </c>
      <c r="H32" s="9" t="n">
        <f aca="false">IF(ISNUMBER(E32),E32*G32,0)</f>
        <v>4</v>
      </c>
      <c r="I32" s="7" t="s">
        <v>19</v>
      </c>
      <c r="J32" s="6" t="s">
        <v>28</v>
      </c>
      <c r="K32" s="6" t="s">
        <v>49</v>
      </c>
      <c r="L32" s="6" t="s">
        <v>50</v>
      </c>
      <c r="M32" s="6" t="s">
        <v>135</v>
      </c>
    </row>
    <row r="33" customFormat="false" ht="15" hidden="false" customHeight="false" outlineLevel="0" collapsed="false">
      <c r="A33" s="6" t="n">
        <v>26</v>
      </c>
      <c r="B33" s="6" t="s">
        <v>97</v>
      </c>
      <c r="C33" s="6" t="s">
        <v>136</v>
      </c>
      <c r="D33" s="6" t="s">
        <v>137</v>
      </c>
      <c r="E33" s="7" t="n">
        <v>1</v>
      </c>
      <c r="F33" s="6" t="s">
        <v>18</v>
      </c>
      <c r="G33" s="8" t="n">
        <v>35</v>
      </c>
      <c r="H33" s="9" t="n">
        <f aca="false">IF(ISNUMBER(E33),E33*G33,0)</f>
        <v>35</v>
      </c>
      <c r="I33" s="7" t="s">
        <v>138</v>
      </c>
      <c r="J33" s="6" t="s">
        <v>28</v>
      </c>
      <c r="K33" s="6" t="s">
        <v>139</v>
      </c>
      <c r="L33" s="6" t="s">
        <v>50</v>
      </c>
      <c r="M33" s="6" t="s">
        <v>51</v>
      </c>
    </row>
    <row r="34" customFormat="false" ht="15" hidden="false" customHeight="false" outlineLevel="0" collapsed="false">
      <c r="A34" s="6" t="n">
        <v>27</v>
      </c>
      <c r="B34" s="6" t="s">
        <v>97</v>
      </c>
      <c r="C34" s="6" t="s">
        <v>140</v>
      </c>
      <c r="D34" s="6" t="s">
        <v>141</v>
      </c>
      <c r="E34" s="7" t="n">
        <v>1</v>
      </c>
      <c r="F34" s="6" t="s">
        <v>18</v>
      </c>
      <c r="G34" s="8" t="n">
        <v>8</v>
      </c>
      <c r="H34" s="9" t="n">
        <f aca="false">IF(ISNUMBER(E34),E34*G34,0)</f>
        <v>8</v>
      </c>
      <c r="I34" s="7" t="s">
        <v>138</v>
      </c>
      <c r="J34" s="6" t="s">
        <v>28</v>
      </c>
      <c r="K34" s="6" t="s">
        <v>139</v>
      </c>
      <c r="L34" s="6" t="s">
        <v>50</v>
      </c>
      <c r="M34" s="6"/>
    </row>
    <row r="35" customFormat="false" ht="15" hidden="false" customHeight="false" outlineLevel="0" collapsed="false">
      <c r="A35" s="4"/>
      <c r="B35" s="5" t="s">
        <v>142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Format="false" ht="15" hidden="false" customHeight="false" outlineLevel="0" collapsed="false">
      <c r="A36" s="6" t="n">
        <v>28</v>
      </c>
      <c r="B36" s="6" t="s">
        <v>143</v>
      </c>
      <c r="C36" s="6" t="s">
        <v>144</v>
      </c>
      <c r="D36" s="6" t="s">
        <v>145</v>
      </c>
      <c r="E36" s="7" t="n">
        <v>40</v>
      </c>
      <c r="F36" s="6" t="s">
        <v>18</v>
      </c>
      <c r="G36" s="8" t="n">
        <v>0.05</v>
      </c>
      <c r="H36" s="9" t="n">
        <f aca="false">IF(ISNUMBER(E36),E36*G36,0)</f>
        <v>2</v>
      </c>
      <c r="I36" s="7" t="s">
        <v>19</v>
      </c>
      <c r="J36" s="6" t="s">
        <v>28</v>
      </c>
      <c r="K36" s="6" t="s">
        <v>146</v>
      </c>
      <c r="L36" s="6" t="s">
        <v>50</v>
      </c>
      <c r="M36" s="6" t="s">
        <v>147</v>
      </c>
    </row>
    <row r="37" customFormat="false" ht="26.85" hidden="false" customHeight="false" outlineLevel="0" collapsed="false">
      <c r="A37" s="6" t="n">
        <v>29</v>
      </c>
      <c r="B37" s="6" t="s">
        <v>143</v>
      </c>
      <c r="C37" s="6" t="s">
        <v>148</v>
      </c>
      <c r="D37" s="6" t="s">
        <v>149</v>
      </c>
      <c r="E37" s="7" t="n">
        <v>30</v>
      </c>
      <c r="F37" s="6" t="s">
        <v>18</v>
      </c>
      <c r="G37" s="8" t="n">
        <v>0.05</v>
      </c>
      <c r="H37" s="9" t="n">
        <f aca="false">IF(ISNUMBER(E37),E37*G37,0)</f>
        <v>1.5</v>
      </c>
      <c r="I37" s="7" t="s">
        <v>19</v>
      </c>
      <c r="J37" s="6" t="s">
        <v>28</v>
      </c>
      <c r="K37" s="6" t="s">
        <v>146</v>
      </c>
      <c r="L37" s="6" t="s">
        <v>50</v>
      </c>
      <c r="M37" s="6" t="s">
        <v>150</v>
      </c>
    </row>
    <row r="38" customFormat="false" ht="15" hidden="false" customHeight="false" outlineLevel="0" collapsed="false">
      <c r="A38" s="6" t="n">
        <v>30</v>
      </c>
      <c r="B38" s="6" t="s">
        <v>143</v>
      </c>
      <c r="C38" s="6" t="s">
        <v>151</v>
      </c>
      <c r="D38" s="6" t="s">
        <v>152</v>
      </c>
      <c r="E38" s="7" t="n">
        <v>40</v>
      </c>
      <c r="F38" s="6" t="s">
        <v>18</v>
      </c>
      <c r="G38" s="8" t="n">
        <v>0.05</v>
      </c>
      <c r="H38" s="9" t="n">
        <f aca="false">IF(ISNUMBER(E38),E38*G38,0)</f>
        <v>2</v>
      </c>
      <c r="I38" s="7" t="s">
        <v>19</v>
      </c>
      <c r="J38" s="6" t="s">
        <v>28</v>
      </c>
      <c r="K38" s="6" t="s">
        <v>146</v>
      </c>
      <c r="L38" s="6" t="s">
        <v>50</v>
      </c>
      <c r="M38" s="6" t="s">
        <v>153</v>
      </c>
    </row>
    <row r="39" customFormat="false" ht="15" hidden="false" customHeight="false" outlineLevel="0" collapsed="false">
      <c r="A39" s="6" t="n">
        <v>31</v>
      </c>
      <c r="B39" s="6" t="s">
        <v>143</v>
      </c>
      <c r="C39" s="6" t="s">
        <v>154</v>
      </c>
      <c r="D39" s="6" t="s">
        <v>152</v>
      </c>
      <c r="E39" s="7" t="n">
        <v>40</v>
      </c>
      <c r="F39" s="6" t="s">
        <v>18</v>
      </c>
      <c r="G39" s="8" t="n">
        <v>0.06</v>
      </c>
      <c r="H39" s="9" t="n">
        <f aca="false">IF(ISNUMBER(E39),E39*G39,0)</f>
        <v>2.4</v>
      </c>
      <c r="I39" s="7" t="s">
        <v>19</v>
      </c>
      <c r="J39" s="6" t="s">
        <v>28</v>
      </c>
      <c r="K39" s="6" t="s">
        <v>146</v>
      </c>
      <c r="L39" s="6" t="s">
        <v>50</v>
      </c>
      <c r="M39" s="6" t="s">
        <v>155</v>
      </c>
    </row>
    <row r="40" customFormat="false" ht="15" hidden="false" customHeight="false" outlineLevel="0" collapsed="false">
      <c r="A40" s="6" t="n">
        <v>32</v>
      </c>
      <c r="B40" s="6" t="s">
        <v>143</v>
      </c>
      <c r="C40" s="6" t="s">
        <v>156</v>
      </c>
      <c r="D40" s="6" t="s">
        <v>157</v>
      </c>
      <c r="E40" s="7" t="n">
        <v>7</v>
      </c>
      <c r="F40" s="6" t="s">
        <v>18</v>
      </c>
      <c r="G40" s="8" t="n">
        <v>0.08</v>
      </c>
      <c r="H40" s="9" t="n">
        <f aca="false">IF(ISNUMBER(E40),E40*G40,0)</f>
        <v>0.56</v>
      </c>
      <c r="I40" s="7" t="s">
        <v>19</v>
      </c>
      <c r="J40" s="6" t="s">
        <v>28</v>
      </c>
      <c r="K40" s="6" t="s">
        <v>158</v>
      </c>
      <c r="L40" s="6" t="s">
        <v>50</v>
      </c>
      <c r="M40" s="6" t="s">
        <v>159</v>
      </c>
    </row>
    <row r="41" customFormat="false" ht="26.85" hidden="false" customHeight="false" outlineLevel="0" collapsed="false">
      <c r="A41" s="6" t="n">
        <v>33</v>
      </c>
      <c r="B41" s="6" t="s">
        <v>143</v>
      </c>
      <c r="C41" s="6" t="s">
        <v>160</v>
      </c>
      <c r="D41" s="6" t="s">
        <v>157</v>
      </c>
      <c r="E41" s="7" t="n">
        <v>12</v>
      </c>
      <c r="F41" s="6" t="s">
        <v>18</v>
      </c>
      <c r="G41" s="8" t="n">
        <v>0.08</v>
      </c>
      <c r="H41" s="9" t="n">
        <f aca="false">IF(ISNUMBER(E41),E41*G41,0)</f>
        <v>0.96</v>
      </c>
      <c r="I41" s="7" t="s">
        <v>19</v>
      </c>
      <c r="J41" s="6" t="s">
        <v>28</v>
      </c>
      <c r="K41" s="6" t="s">
        <v>158</v>
      </c>
      <c r="L41" s="6" t="s">
        <v>50</v>
      </c>
      <c r="M41" s="6" t="s">
        <v>161</v>
      </c>
    </row>
    <row r="42" customFormat="false" ht="26.85" hidden="false" customHeight="false" outlineLevel="0" collapsed="false">
      <c r="A42" s="6" t="n">
        <v>34</v>
      </c>
      <c r="B42" s="6" t="s">
        <v>143</v>
      </c>
      <c r="C42" s="6" t="s">
        <v>162</v>
      </c>
      <c r="D42" s="6" t="s">
        <v>163</v>
      </c>
      <c r="E42" s="7" t="n">
        <v>25</v>
      </c>
      <c r="F42" s="6" t="s">
        <v>18</v>
      </c>
      <c r="G42" s="8" t="n">
        <v>0.08</v>
      </c>
      <c r="H42" s="9" t="n">
        <f aca="false">IF(ISNUMBER(E42),E42*G42,0)</f>
        <v>2</v>
      </c>
      <c r="I42" s="7" t="s">
        <v>19</v>
      </c>
      <c r="J42" s="6" t="s">
        <v>28</v>
      </c>
      <c r="K42" s="6" t="s">
        <v>158</v>
      </c>
      <c r="L42" s="6" t="s">
        <v>50</v>
      </c>
      <c r="M42" s="6" t="s">
        <v>164</v>
      </c>
    </row>
    <row r="43" customFormat="false" ht="26.85" hidden="false" customHeight="false" outlineLevel="0" collapsed="false">
      <c r="A43" s="6" t="n">
        <v>35</v>
      </c>
      <c r="B43" s="6" t="s">
        <v>143</v>
      </c>
      <c r="C43" s="6" t="s">
        <v>165</v>
      </c>
      <c r="D43" s="6" t="s">
        <v>157</v>
      </c>
      <c r="E43" s="7" t="n">
        <v>20</v>
      </c>
      <c r="F43" s="6" t="s">
        <v>18</v>
      </c>
      <c r="G43" s="8" t="n">
        <v>0.08</v>
      </c>
      <c r="H43" s="9" t="n">
        <f aca="false">IF(ISNUMBER(E43),E43*G43,0)</f>
        <v>1.6</v>
      </c>
      <c r="I43" s="7" t="s">
        <v>19</v>
      </c>
      <c r="J43" s="6" t="s">
        <v>28</v>
      </c>
      <c r="K43" s="6" t="s">
        <v>158</v>
      </c>
      <c r="L43" s="6" t="s">
        <v>50</v>
      </c>
      <c r="M43" s="6" t="s">
        <v>166</v>
      </c>
    </row>
    <row r="44" customFormat="false" ht="15" hidden="false" customHeight="false" outlineLevel="0" collapsed="false">
      <c r="A44" s="6" t="n">
        <v>36</v>
      </c>
      <c r="B44" s="6" t="s">
        <v>143</v>
      </c>
      <c r="C44" s="6" t="s">
        <v>167</v>
      </c>
      <c r="D44" s="6" t="s">
        <v>168</v>
      </c>
      <c r="E44" s="7" t="n">
        <v>10</v>
      </c>
      <c r="F44" s="6" t="s">
        <v>18</v>
      </c>
      <c r="G44" s="8" t="n">
        <v>0.15</v>
      </c>
      <c r="H44" s="9" t="n">
        <f aca="false">IF(ISNUMBER(E44),E44*G44,0)</f>
        <v>1.5</v>
      </c>
      <c r="I44" s="7" t="s">
        <v>19</v>
      </c>
      <c r="J44" s="6" t="s">
        <v>28</v>
      </c>
      <c r="K44" s="6" t="s">
        <v>169</v>
      </c>
      <c r="L44" s="6" t="s">
        <v>50</v>
      </c>
      <c r="M44" s="6" t="s">
        <v>170</v>
      </c>
    </row>
    <row r="45" customFormat="false" ht="15" hidden="false" customHeight="false" outlineLevel="0" collapsed="false">
      <c r="A45" s="6" t="n">
        <v>37</v>
      </c>
      <c r="B45" s="6" t="s">
        <v>143</v>
      </c>
      <c r="C45" s="6" t="s">
        <v>171</v>
      </c>
      <c r="D45" s="6"/>
      <c r="E45" s="7" t="n">
        <v>10</v>
      </c>
      <c r="F45" s="6" t="s">
        <v>18</v>
      </c>
      <c r="G45" s="8" t="n">
        <v>0.03</v>
      </c>
      <c r="H45" s="9" t="n">
        <f aca="false">IF(ISNUMBER(E45),E45*G45,0)</f>
        <v>0.3</v>
      </c>
      <c r="I45" s="7" t="s">
        <v>19</v>
      </c>
      <c r="J45" s="6" t="s">
        <v>28</v>
      </c>
      <c r="K45" s="6" t="s">
        <v>49</v>
      </c>
      <c r="L45" s="6" t="s">
        <v>50</v>
      </c>
      <c r="M45" s="6" t="s">
        <v>172</v>
      </c>
    </row>
    <row r="46" customFormat="false" ht="26.85" hidden="false" customHeight="false" outlineLevel="0" collapsed="false">
      <c r="A46" s="6" t="n">
        <v>38</v>
      </c>
      <c r="B46" s="6" t="s">
        <v>143</v>
      </c>
      <c r="C46" s="6" t="s">
        <v>173</v>
      </c>
      <c r="D46" s="6" t="s">
        <v>174</v>
      </c>
      <c r="E46" s="7" t="n">
        <v>5</v>
      </c>
      <c r="F46" s="6" t="s">
        <v>18</v>
      </c>
      <c r="G46" s="8" t="n">
        <v>0.4</v>
      </c>
      <c r="H46" s="9" t="n">
        <f aca="false">IF(ISNUMBER(E46),E46*G46,0)</f>
        <v>2</v>
      </c>
      <c r="I46" s="7" t="s">
        <v>19</v>
      </c>
      <c r="J46" s="6" t="s">
        <v>28</v>
      </c>
      <c r="K46" s="6" t="s">
        <v>175</v>
      </c>
      <c r="L46" s="6" t="s">
        <v>176</v>
      </c>
      <c r="M46" s="6" t="s">
        <v>177</v>
      </c>
    </row>
    <row r="47" customFormat="false" ht="15" hidden="false" customHeight="false" outlineLevel="0" collapsed="false">
      <c r="A47" s="6" t="n">
        <v>39</v>
      </c>
      <c r="B47" s="6" t="s">
        <v>143</v>
      </c>
      <c r="C47" s="6" t="s">
        <v>178</v>
      </c>
      <c r="D47" s="6"/>
      <c r="E47" s="7" t="n">
        <v>10</v>
      </c>
      <c r="F47" s="6" t="s">
        <v>18</v>
      </c>
      <c r="G47" s="8" t="n">
        <v>0.03</v>
      </c>
      <c r="H47" s="9" t="n">
        <f aca="false">IF(ISNUMBER(E47),E47*G47,0)</f>
        <v>0.3</v>
      </c>
      <c r="I47" s="7" t="s">
        <v>19</v>
      </c>
      <c r="J47" s="6" t="s">
        <v>28</v>
      </c>
      <c r="K47" s="6" t="s">
        <v>49</v>
      </c>
      <c r="L47" s="6" t="s">
        <v>50</v>
      </c>
      <c r="M47" s="6" t="s">
        <v>179</v>
      </c>
    </row>
    <row r="48" customFormat="false" ht="15" hidden="false" customHeight="false" outlineLevel="0" collapsed="false">
      <c r="A48" s="6" t="n">
        <v>40</v>
      </c>
      <c r="B48" s="6" t="s">
        <v>143</v>
      </c>
      <c r="C48" s="6" t="s">
        <v>180</v>
      </c>
      <c r="D48" s="6"/>
      <c r="E48" s="7" t="n">
        <v>5</v>
      </c>
      <c r="F48" s="6" t="s">
        <v>18</v>
      </c>
      <c r="G48" s="8" t="n">
        <v>0.02</v>
      </c>
      <c r="H48" s="9" t="n">
        <f aca="false">IF(ISNUMBER(E48),E48*G48,0)</f>
        <v>0.1</v>
      </c>
      <c r="I48" s="7" t="s">
        <v>19</v>
      </c>
      <c r="J48" s="6" t="s">
        <v>28</v>
      </c>
      <c r="K48" s="6" t="s">
        <v>49</v>
      </c>
      <c r="L48" s="6" t="s">
        <v>50</v>
      </c>
      <c r="M48" s="6" t="s">
        <v>181</v>
      </c>
    </row>
    <row r="49" customFormat="false" ht="26.85" hidden="false" customHeight="false" outlineLevel="0" collapsed="false">
      <c r="A49" s="6" t="n">
        <v>41</v>
      </c>
      <c r="B49" s="6" t="s">
        <v>143</v>
      </c>
      <c r="C49" s="6" t="s">
        <v>182</v>
      </c>
      <c r="D49" s="6"/>
      <c r="E49" s="7" t="n">
        <v>4</v>
      </c>
      <c r="F49" s="6" t="s">
        <v>18</v>
      </c>
      <c r="G49" s="8" t="n">
        <v>0.08</v>
      </c>
      <c r="H49" s="9" t="n">
        <f aca="false">IF(ISNUMBER(E49),E49*G49,0)</f>
        <v>0.32</v>
      </c>
      <c r="I49" s="7" t="s">
        <v>19</v>
      </c>
      <c r="J49" s="6" t="s">
        <v>28</v>
      </c>
      <c r="K49" s="6" t="s">
        <v>49</v>
      </c>
      <c r="L49" s="6" t="s">
        <v>50</v>
      </c>
      <c r="M49" s="6" t="s">
        <v>183</v>
      </c>
    </row>
    <row r="50" customFormat="false" ht="26.85" hidden="false" customHeight="false" outlineLevel="0" collapsed="false">
      <c r="A50" s="6" t="n">
        <v>42</v>
      </c>
      <c r="B50" s="6" t="s">
        <v>143</v>
      </c>
      <c r="C50" s="6" t="s">
        <v>184</v>
      </c>
      <c r="D50" s="6" t="s">
        <v>185</v>
      </c>
      <c r="E50" s="7" t="n">
        <v>4</v>
      </c>
      <c r="F50" s="6" t="s">
        <v>18</v>
      </c>
      <c r="G50" s="8" t="n">
        <v>0.15</v>
      </c>
      <c r="H50" s="9" t="n">
        <f aca="false">IF(ISNUMBER(E50),E50*G50,0)</f>
        <v>0.6</v>
      </c>
      <c r="I50" s="7" t="s">
        <v>19</v>
      </c>
      <c r="J50" s="6" t="s">
        <v>28</v>
      </c>
      <c r="K50" s="6" t="s">
        <v>186</v>
      </c>
      <c r="L50" s="6" t="s">
        <v>187</v>
      </c>
      <c r="M50" s="6" t="s">
        <v>188</v>
      </c>
    </row>
    <row r="51" customFormat="false" ht="15" hidden="false" customHeight="false" outlineLevel="0" collapsed="false">
      <c r="A51" s="6" t="n">
        <v>43</v>
      </c>
      <c r="B51" s="6" t="s">
        <v>143</v>
      </c>
      <c r="C51" s="6" t="s">
        <v>189</v>
      </c>
      <c r="D51" s="6" t="s">
        <v>190</v>
      </c>
      <c r="E51" s="7" t="n">
        <v>5</v>
      </c>
      <c r="F51" s="6" t="s">
        <v>18</v>
      </c>
      <c r="G51" s="8" t="n">
        <v>0.1</v>
      </c>
      <c r="H51" s="9" t="n">
        <f aca="false">IF(ISNUMBER(E51),E51*G51,0)</f>
        <v>0.5</v>
      </c>
      <c r="I51" s="7" t="s">
        <v>19</v>
      </c>
      <c r="J51" s="6" t="s">
        <v>28</v>
      </c>
      <c r="K51" s="6" t="s">
        <v>169</v>
      </c>
      <c r="L51" s="6" t="s">
        <v>50</v>
      </c>
      <c r="M51" s="6" t="s">
        <v>191</v>
      </c>
    </row>
    <row r="52" customFormat="false" ht="26.85" hidden="false" customHeight="false" outlineLevel="0" collapsed="false">
      <c r="A52" s="6" t="n">
        <v>44</v>
      </c>
      <c r="B52" s="6" t="s">
        <v>143</v>
      </c>
      <c r="C52" s="6" t="s">
        <v>192</v>
      </c>
      <c r="D52" s="6" t="s">
        <v>193</v>
      </c>
      <c r="E52" s="7" t="n">
        <v>10</v>
      </c>
      <c r="F52" s="6" t="s">
        <v>18</v>
      </c>
      <c r="G52" s="8" t="n">
        <v>0.2</v>
      </c>
      <c r="H52" s="9" t="n">
        <f aca="false">IF(ISNUMBER(E52),E52*G52,0)</f>
        <v>2</v>
      </c>
      <c r="I52" s="7" t="s">
        <v>19</v>
      </c>
      <c r="J52" s="6" t="s">
        <v>28</v>
      </c>
      <c r="K52" s="6" t="s">
        <v>194</v>
      </c>
      <c r="L52" s="6" t="s">
        <v>195</v>
      </c>
      <c r="M52" s="6" t="s">
        <v>196</v>
      </c>
    </row>
    <row r="53" customFormat="false" ht="15" hidden="false" customHeight="false" outlineLevel="0" collapsed="false">
      <c r="A53" s="6" t="n">
        <v>45</v>
      </c>
      <c r="B53" s="6" t="s">
        <v>143</v>
      </c>
      <c r="C53" s="6" t="s">
        <v>197</v>
      </c>
      <c r="D53" s="6" t="s">
        <v>198</v>
      </c>
      <c r="E53" s="7" t="n">
        <v>1</v>
      </c>
      <c r="F53" s="6" t="s">
        <v>18</v>
      </c>
      <c r="G53" s="8" t="n">
        <v>1</v>
      </c>
      <c r="H53" s="9" t="n">
        <f aca="false">IF(ISNUMBER(E53),E53*G53,0)</f>
        <v>1</v>
      </c>
      <c r="I53" s="7" t="s">
        <v>19</v>
      </c>
      <c r="J53" s="6" t="s">
        <v>28</v>
      </c>
      <c r="K53" s="6" t="s">
        <v>139</v>
      </c>
      <c r="L53" s="6" t="s">
        <v>50</v>
      </c>
      <c r="M53" s="6" t="s">
        <v>199</v>
      </c>
    </row>
    <row r="54" customFormat="false" ht="15" hidden="false" customHeight="false" outlineLevel="0" collapsed="false">
      <c r="A54" s="6" t="n">
        <v>46</v>
      </c>
      <c r="B54" s="6" t="s">
        <v>143</v>
      </c>
      <c r="C54" s="6" t="s">
        <v>200</v>
      </c>
      <c r="D54" s="6" t="s">
        <v>201</v>
      </c>
      <c r="E54" s="7" t="n">
        <v>40</v>
      </c>
      <c r="F54" s="6" t="s">
        <v>18</v>
      </c>
      <c r="G54" s="8" t="n">
        <v>0.02</v>
      </c>
      <c r="H54" s="9" t="n">
        <f aca="false">IF(ISNUMBER(E54),E54*G54,0)</f>
        <v>0.8</v>
      </c>
      <c r="I54" s="7" t="s">
        <v>19</v>
      </c>
      <c r="J54" s="6" t="s">
        <v>28</v>
      </c>
      <c r="K54" s="6" t="s">
        <v>49</v>
      </c>
      <c r="L54" s="6" t="s">
        <v>50</v>
      </c>
      <c r="M54" s="6" t="s">
        <v>202</v>
      </c>
    </row>
    <row r="55" customFormat="false" ht="15" hidden="false" customHeight="false" outlineLevel="0" collapsed="false">
      <c r="A55" s="6" t="n">
        <v>47</v>
      </c>
      <c r="B55" s="6" t="s">
        <v>143</v>
      </c>
      <c r="C55" s="6" t="s">
        <v>203</v>
      </c>
      <c r="D55" s="6" t="s">
        <v>204</v>
      </c>
      <c r="E55" s="7" t="n">
        <v>1</v>
      </c>
      <c r="F55" s="6" t="s">
        <v>205</v>
      </c>
      <c r="G55" s="8" t="n">
        <v>2</v>
      </c>
      <c r="H55" s="9" t="n">
        <f aca="false">IF(ISNUMBER(E55),E55*G55,0)</f>
        <v>2</v>
      </c>
      <c r="I55" s="7" t="s">
        <v>138</v>
      </c>
      <c r="J55" s="6" t="s">
        <v>28</v>
      </c>
      <c r="K55" s="6" t="s">
        <v>206</v>
      </c>
      <c r="L55" s="6" t="s">
        <v>50</v>
      </c>
      <c r="M55" s="6" t="s">
        <v>207</v>
      </c>
    </row>
    <row r="56" customFormat="false" ht="15" hidden="false" customHeight="false" outlineLevel="0" collapsed="false">
      <c r="A56" s="4"/>
      <c r="B56" s="5" t="s">
        <v>208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26.85" hidden="false" customHeight="false" outlineLevel="0" collapsed="false">
      <c r="A57" s="6" t="n">
        <v>48</v>
      </c>
      <c r="B57" s="6" t="s">
        <v>208</v>
      </c>
      <c r="C57" s="6" t="s">
        <v>209</v>
      </c>
      <c r="D57" s="6" t="s">
        <v>210</v>
      </c>
      <c r="E57" s="6" t="n">
        <f aca="false">ROUNDUP('Printed Parts'!G29/1000,2)</f>
        <v>0.85</v>
      </c>
      <c r="F57" s="6" t="s">
        <v>211</v>
      </c>
      <c r="G57" s="8" t="n">
        <v>20</v>
      </c>
      <c r="H57" s="9" t="n">
        <f aca="false">IF(ISNUMBER(E57),E57*G57,0)</f>
        <v>17</v>
      </c>
      <c r="I57" s="7" t="s">
        <v>19</v>
      </c>
      <c r="J57" s="6" t="s">
        <v>28</v>
      </c>
      <c r="K57" s="6" t="s">
        <v>212</v>
      </c>
      <c r="L57" s="6" t="s">
        <v>213</v>
      </c>
      <c r="M57" s="6" t="s">
        <v>214</v>
      </c>
    </row>
    <row r="58" customFormat="false" ht="15" hidden="false" customHeight="false" outlineLevel="0" collapsed="false">
      <c r="A58" s="6" t="n">
        <v>49</v>
      </c>
      <c r="B58" s="6" t="s">
        <v>208</v>
      </c>
      <c r="C58" s="6" t="s">
        <v>215</v>
      </c>
      <c r="D58" s="6" t="s">
        <v>216</v>
      </c>
      <c r="E58" s="6" t="n">
        <f aca="false">ROUNDUP('Printed Parts'!G30/1000,3)</f>
        <v>0.017</v>
      </c>
      <c r="F58" s="6" t="s">
        <v>211</v>
      </c>
      <c r="G58" s="8" t="n">
        <v>25</v>
      </c>
      <c r="H58" s="9" t="n">
        <f aca="false">IF(ISNUMBER(E58),E58*G58,0)</f>
        <v>0.425</v>
      </c>
      <c r="I58" s="7" t="s">
        <v>19</v>
      </c>
      <c r="J58" s="6" t="s">
        <v>28</v>
      </c>
      <c r="K58" s="6" t="s">
        <v>217</v>
      </c>
      <c r="L58" s="6" t="s">
        <v>218</v>
      </c>
      <c r="M58" s="6" t="s">
        <v>219</v>
      </c>
    </row>
    <row r="60" customFormat="false" ht="15" hidden="false" customHeight="false" outlineLevel="0" collapsed="false">
      <c r="C60" s="10" t="s">
        <v>220</v>
      </c>
      <c r="H60" s="11" t="n">
        <f aca="false">SUMIFS(H5:H58,I5:I58,"No")</f>
        <v>616.595</v>
      </c>
    </row>
    <row r="61" customFormat="false" ht="15" hidden="false" customHeight="false" outlineLevel="0" collapsed="false">
      <c r="C61" s="10" t="s">
        <v>221</v>
      </c>
      <c r="H61" s="11" t="n">
        <f aca="false">SUMIFS(H5:H58,I5:I58,"Yes")</f>
        <v>45</v>
      </c>
    </row>
    <row r="62" customFormat="false" ht="15" hidden="false" customHeight="false" outlineLevel="0" collapsed="false">
      <c r="C62" s="10" t="s">
        <v>222</v>
      </c>
      <c r="H62" s="11" t="n">
        <f aca="false">H60+H61</f>
        <v>661.595</v>
      </c>
    </row>
    <row r="63" customFormat="false" ht="15" hidden="false" customHeight="false" outlineLevel="0" collapsed="false">
      <c r="C63" s="12" t="s">
        <v>223</v>
      </c>
      <c r="H63" s="13" t="n">
        <f aca="false">IFERROR(SUMIFS(H5:H58,B5:B58,"Actuation")/H60,0)</f>
        <v>0.4862997591612</v>
      </c>
    </row>
    <row r="65" customFormat="false" ht="15" hidden="false" customHeight="false" outlineLevel="0" collapsed="false">
      <c r="C65" s="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22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15" hidden="false" customHeight="false" outlineLevel="0" collapsed="false">
      <c r="A4" s="12" t="s">
        <v>227</v>
      </c>
      <c r="B4" s="14" t="n">
        <v>1.27</v>
      </c>
      <c r="C4" s="15" t="s">
        <v>228</v>
      </c>
    </row>
    <row r="5" customFormat="false" ht="15" hidden="false" customHeight="false" outlineLevel="0" collapsed="false">
      <c r="A5" s="12" t="s">
        <v>229</v>
      </c>
      <c r="B5" s="14" t="n">
        <v>1.21</v>
      </c>
      <c r="C5" s="15" t="s">
        <v>230</v>
      </c>
    </row>
    <row r="6" customFormat="false" ht="15" hidden="false" customHeight="false" outlineLevel="0" collapsed="false">
      <c r="A6" s="12" t="s">
        <v>231</v>
      </c>
      <c r="B6" s="14" t="n">
        <v>0.55</v>
      </c>
      <c r="C6" s="15" t="s">
        <v>232</v>
      </c>
    </row>
    <row r="7" customFormat="false" ht="15" hidden="false" customHeight="false" outlineLevel="0" collapsed="false">
      <c r="A7" s="12" t="s">
        <v>233</v>
      </c>
      <c r="B7" s="14" t="n">
        <v>1</v>
      </c>
      <c r="C7" s="15" t="s">
        <v>234</v>
      </c>
    </row>
    <row r="10" customFormat="false" ht="39.55" hidden="false" customHeight="false" outlineLevel="0" collapsed="false">
      <c r="A10" s="3" t="s">
        <v>235</v>
      </c>
      <c r="B10" s="3" t="s">
        <v>236</v>
      </c>
      <c r="C10" s="3" t="s">
        <v>6</v>
      </c>
      <c r="D10" s="3" t="s">
        <v>237</v>
      </c>
      <c r="E10" s="3" t="s">
        <v>238</v>
      </c>
      <c r="F10" s="3" t="s">
        <v>239</v>
      </c>
      <c r="G10" s="3" t="s">
        <v>240</v>
      </c>
      <c r="H10" s="3" t="s">
        <v>241</v>
      </c>
      <c r="I10" s="3" t="s">
        <v>242</v>
      </c>
    </row>
    <row r="11" customFormat="false" ht="15" hidden="false" customHeight="false" outlineLevel="0" collapsed="false">
      <c r="A11" s="12" t="s">
        <v>243</v>
      </c>
      <c r="B11" s="12" t="s">
        <v>244</v>
      </c>
      <c r="C11" s="16" t="n">
        <v>5</v>
      </c>
      <c r="D11" s="12" t="s">
        <v>209</v>
      </c>
      <c r="E11" s="17" t="n">
        <v>28.8</v>
      </c>
      <c r="F11" s="18" t="n">
        <f aca="false">C11*E11</f>
        <v>144</v>
      </c>
      <c r="G11" s="19" t="n">
        <f aca="false">F11*IF(D11="TPU",$B$5,$B$4)*$B$6</f>
        <v>100.584</v>
      </c>
      <c r="H11" s="12" t="s">
        <v>245</v>
      </c>
      <c r="I11" s="12" t="s">
        <v>246</v>
      </c>
    </row>
    <row r="12" customFormat="false" ht="15" hidden="false" customHeight="false" outlineLevel="0" collapsed="false">
      <c r="A12" s="12" t="s">
        <v>247</v>
      </c>
      <c r="B12" s="12" t="s">
        <v>244</v>
      </c>
      <c r="C12" s="16" t="n">
        <v>5</v>
      </c>
      <c r="D12" s="12" t="s">
        <v>209</v>
      </c>
      <c r="E12" s="17" t="n">
        <v>11.5</v>
      </c>
      <c r="F12" s="18" t="n">
        <f aca="false">C12*E12</f>
        <v>57.5</v>
      </c>
      <c r="G12" s="19" t="n">
        <f aca="false">F12*IF(D12="TPU",$B$5,$B$4)*$B$6</f>
        <v>40.16375</v>
      </c>
      <c r="H12" s="12" t="s">
        <v>248</v>
      </c>
      <c r="I12" s="12" t="s">
        <v>249</v>
      </c>
    </row>
    <row r="13" customFormat="false" ht="15" hidden="false" customHeight="false" outlineLevel="0" collapsed="false">
      <c r="A13" s="12" t="s">
        <v>250</v>
      </c>
      <c r="B13" s="12" t="s">
        <v>244</v>
      </c>
      <c r="C13" s="16" t="n">
        <v>5</v>
      </c>
      <c r="D13" s="12" t="s">
        <v>209</v>
      </c>
      <c r="E13" s="17" t="n">
        <v>29.9</v>
      </c>
      <c r="F13" s="18" t="n">
        <f aca="false">C13*E13</f>
        <v>149.5</v>
      </c>
      <c r="G13" s="19" t="n">
        <f aca="false">F13*IF(D13="TPU",$B$5,$B$4)*$B$6</f>
        <v>104.42575</v>
      </c>
      <c r="H13" s="12" t="s">
        <v>251</v>
      </c>
      <c r="I13" s="12" t="s">
        <v>252</v>
      </c>
    </row>
    <row r="14" customFormat="false" ht="15" hidden="false" customHeight="false" outlineLevel="0" collapsed="false">
      <c r="A14" s="12" t="s">
        <v>253</v>
      </c>
      <c r="B14" s="12" t="s">
        <v>244</v>
      </c>
      <c r="C14" s="16" t="n">
        <v>5</v>
      </c>
      <c r="D14" s="12" t="s">
        <v>209</v>
      </c>
      <c r="E14" s="17" t="n">
        <v>7.6</v>
      </c>
      <c r="F14" s="18" t="n">
        <f aca="false">C14*E14</f>
        <v>38</v>
      </c>
      <c r="G14" s="19" t="n">
        <f aca="false">F14*IF(D14="TPU",$B$5,$B$4)*$B$6</f>
        <v>26.543</v>
      </c>
      <c r="H14" s="12" t="s">
        <v>254</v>
      </c>
      <c r="I14" s="12" t="s">
        <v>255</v>
      </c>
    </row>
    <row r="15" customFormat="false" ht="15" hidden="false" customHeight="false" outlineLevel="0" collapsed="false">
      <c r="A15" s="12" t="s">
        <v>256</v>
      </c>
      <c r="B15" s="12" t="s">
        <v>244</v>
      </c>
      <c r="C15" s="16" t="n">
        <v>5</v>
      </c>
      <c r="D15" s="12" t="s">
        <v>209</v>
      </c>
      <c r="E15" s="17" t="n">
        <v>21.1</v>
      </c>
      <c r="F15" s="18" t="n">
        <f aca="false">C15*E15</f>
        <v>105.5</v>
      </c>
      <c r="G15" s="19" t="n">
        <f aca="false">F15*IF(D15="TPU",$B$5,$B$4)*$B$6</f>
        <v>73.69175</v>
      </c>
      <c r="H15" s="12" t="s">
        <v>257</v>
      </c>
      <c r="I15" s="12" t="s">
        <v>258</v>
      </c>
    </row>
    <row r="16" customFormat="false" ht="15" hidden="false" customHeight="false" outlineLevel="0" collapsed="false">
      <c r="A16" s="12" t="s">
        <v>259</v>
      </c>
      <c r="B16" s="12" t="s">
        <v>244</v>
      </c>
      <c r="C16" s="16" t="n">
        <v>5</v>
      </c>
      <c r="D16" s="12" t="s">
        <v>209</v>
      </c>
      <c r="E16" s="17" t="n">
        <v>21.1</v>
      </c>
      <c r="F16" s="18" t="n">
        <f aca="false">C16*E16</f>
        <v>105.5</v>
      </c>
      <c r="G16" s="19" t="n">
        <f aca="false">F16*IF(D16="TPU",$B$5,$B$4)*$B$6</f>
        <v>73.69175</v>
      </c>
      <c r="H16" s="12" t="s">
        <v>257</v>
      </c>
      <c r="I16" s="12" t="s">
        <v>258</v>
      </c>
    </row>
    <row r="17" customFormat="false" ht="15" hidden="false" customHeight="false" outlineLevel="0" collapsed="false">
      <c r="A17" s="12" t="s">
        <v>260</v>
      </c>
      <c r="B17" s="12" t="s">
        <v>244</v>
      </c>
      <c r="C17" s="16" t="n">
        <v>5</v>
      </c>
      <c r="D17" s="12" t="s">
        <v>261</v>
      </c>
      <c r="E17" s="17" t="n">
        <v>5</v>
      </c>
      <c r="F17" s="18" t="n">
        <f aca="false">C17*E17</f>
        <v>25</v>
      </c>
      <c r="G17" s="19" t="n">
        <f aca="false">F17*IF(D17="TPU",$B$5,$B$4)*$B$6</f>
        <v>16.6375</v>
      </c>
      <c r="H17" s="12" t="s">
        <v>262</v>
      </c>
      <c r="I17" s="12" t="s">
        <v>263</v>
      </c>
    </row>
    <row r="18" customFormat="false" ht="15" hidden="false" customHeight="false" outlineLevel="0" collapsed="false">
      <c r="A18" s="12" t="s">
        <v>264</v>
      </c>
      <c r="B18" s="12" t="s">
        <v>265</v>
      </c>
      <c r="C18" s="16" t="n">
        <v>1</v>
      </c>
      <c r="D18" s="12" t="s">
        <v>209</v>
      </c>
      <c r="E18" s="17" t="n">
        <v>116.6</v>
      </c>
      <c r="F18" s="18" t="n">
        <f aca="false">C18*E18</f>
        <v>116.6</v>
      </c>
      <c r="G18" s="19" t="n">
        <f aca="false">F18*IF(D18="TPU",$B$5,$B$4)*$B$6</f>
        <v>81.4451</v>
      </c>
      <c r="H18" s="12" t="s">
        <v>266</v>
      </c>
      <c r="I18" s="12" t="s">
        <v>267</v>
      </c>
    </row>
    <row r="19" customFormat="false" ht="15" hidden="false" customHeight="false" outlineLevel="0" collapsed="false">
      <c r="A19" s="12" t="s">
        <v>268</v>
      </c>
      <c r="B19" s="12" t="s">
        <v>265</v>
      </c>
      <c r="C19" s="16" t="n">
        <v>1</v>
      </c>
      <c r="D19" s="12" t="s">
        <v>209</v>
      </c>
      <c r="E19" s="17" t="n">
        <v>136.5</v>
      </c>
      <c r="F19" s="18" t="n">
        <f aca="false">C19*E19</f>
        <v>136.5</v>
      </c>
      <c r="G19" s="19" t="n">
        <f aca="false">F19*IF(D19="TPU",$B$5,$B$4)*$B$6</f>
        <v>95.34525</v>
      </c>
      <c r="H19" s="12" t="s">
        <v>269</v>
      </c>
      <c r="I19" s="12" t="s">
        <v>270</v>
      </c>
    </row>
    <row r="20" customFormat="false" ht="15" hidden="false" customHeight="false" outlineLevel="0" collapsed="false">
      <c r="A20" s="12" t="s">
        <v>271</v>
      </c>
      <c r="B20" s="12" t="s">
        <v>265</v>
      </c>
      <c r="C20" s="16" t="n">
        <v>5</v>
      </c>
      <c r="D20" s="12" t="s">
        <v>209</v>
      </c>
      <c r="E20" s="17" t="n">
        <v>1.8</v>
      </c>
      <c r="F20" s="18" t="n">
        <f aca="false">C20*E20</f>
        <v>9</v>
      </c>
      <c r="G20" s="19" t="n">
        <f aca="false">F20*IF(D20="TPU",$B$5,$B$4)*$B$6</f>
        <v>6.2865</v>
      </c>
      <c r="H20" s="12" t="s">
        <v>272</v>
      </c>
      <c r="I20" s="12" t="s">
        <v>273</v>
      </c>
    </row>
    <row r="21" customFormat="false" ht="15" hidden="false" customHeight="false" outlineLevel="0" collapsed="false">
      <c r="A21" s="12" t="s">
        <v>274</v>
      </c>
      <c r="B21" s="12" t="s">
        <v>265</v>
      </c>
      <c r="C21" s="16" t="n">
        <v>1</v>
      </c>
      <c r="D21" s="12" t="s">
        <v>209</v>
      </c>
      <c r="E21" s="17" t="n">
        <v>28</v>
      </c>
      <c r="F21" s="18" t="n">
        <f aca="false">C21*E21</f>
        <v>28</v>
      </c>
      <c r="G21" s="19" t="n">
        <f aca="false">F21*IF(D21="TPU",$B$5,$B$4)*$B$6</f>
        <v>19.558</v>
      </c>
      <c r="H21" s="12" t="s">
        <v>275</v>
      </c>
      <c r="I21" s="12" t="s">
        <v>276</v>
      </c>
    </row>
    <row r="22" customFormat="false" ht="15" hidden="false" customHeight="false" outlineLevel="0" collapsed="false">
      <c r="A22" s="12" t="s">
        <v>277</v>
      </c>
      <c r="B22" s="12" t="s">
        <v>265</v>
      </c>
      <c r="C22" s="16" t="n">
        <v>1</v>
      </c>
      <c r="D22" s="12" t="s">
        <v>209</v>
      </c>
      <c r="E22" s="17" t="n">
        <v>32.1</v>
      </c>
      <c r="F22" s="18" t="n">
        <f aca="false">C22*E22</f>
        <v>32.1</v>
      </c>
      <c r="G22" s="19" t="n">
        <f aca="false">F22*IF(D22="TPU",$B$5,$B$4)*$B$6</f>
        <v>22.42185</v>
      </c>
      <c r="H22" s="12" t="s">
        <v>278</v>
      </c>
      <c r="I22" s="12" t="s">
        <v>279</v>
      </c>
    </row>
    <row r="23" customFormat="false" ht="15" hidden="false" customHeight="false" outlineLevel="0" collapsed="false">
      <c r="A23" s="12" t="s">
        <v>280</v>
      </c>
      <c r="B23" s="12" t="s">
        <v>265</v>
      </c>
      <c r="C23" s="16" t="n">
        <v>5</v>
      </c>
      <c r="D23" s="12" t="s">
        <v>209</v>
      </c>
      <c r="E23" s="17" t="n">
        <v>3.4</v>
      </c>
      <c r="F23" s="18" t="n">
        <f aca="false">C23*E23</f>
        <v>17</v>
      </c>
      <c r="G23" s="19" t="n">
        <f aca="false">F23*IF(D23="TPU",$B$5,$B$4)*$B$6</f>
        <v>11.8745</v>
      </c>
      <c r="H23" s="12" t="s">
        <v>281</v>
      </c>
      <c r="I23" s="12" t="s">
        <v>273</v>
      </c>
    </row>
    <row r="24" customFormat="false" ht="15" hidden="false" customHeight="false" outlineLevel="0" collapsed="false">
      <c r="A24" s="12" t="s">
        <v>282</v>
      </c>
      <c r="B24" s="12" t="s">
        <v>265</v>
      </c>
      <c r="C24" s="16" t="n">
        <v>5</v>
      </c>
      <c r="D24" s="12" t="s">
        <v>209</v>
      </c>
      <c r="E24" s="17" t="n">
        <v>2.1</v>
      </c>
      <c r="F24" s="18" t="n">
        <f aca="false">C24*E24</f>
        <v>10.5</v>
      </c>
      <c r="G24" s="19" t="n">
        <f aca="false">F24*IF(D24="TPU",$B$5,$B$4)*$B$6</f>
        <v>7.33425</v>
      </c>
      <c r="H24" s="12" t="s">
        <v>283</v>
      </c>
      <c r="I24" s="12" t="s">
        <v>284</v>
      </c>
    </row>
    <row r="25" customFormat="false" ht="15" hidden="false" customHeight="false" outlineLevel="0" collapsed="false">
      <c r="A25" s="12" t="s">
        <v>285</v>
      </c>
      <c r="B25" s="12" t="s">
        <v>265</v>
      </c>
      <c r="C25" s="16" t="n">
        <v>1</v>
      </c>
      <c r="D25" s="12" t="s">
        <v>209</v>
      </c>
      <c r="E25" s="17" t="n">
        <v>80.3</v>
      </c>
      <c r="F25" s="18" t="n">
        <f aca="false">C25*E25</f>
        <v>80.3</v>
      </c>
      <c r="G25" s="19" t="n">
        <f aca="false">F25*IF(D25="TPU",$B$5,$B$4)*$B$6</f>
        <v>56.08955</v>
      </c>
      <c r="H25" s="12" t="s">
        <v>286</v>
      </c>
      <c r="I25" s="12" t="s">
        <v>287</v>
      </c>
    </row>
    <row r="26" customFormat="false" ht="15" hidden="false" customHeight="false" outlineLevel="0" collapsed="false">
      <c r="A26" s="12" t="s">
        <v>288</v>
      </c>
      <c r="B26" s="12" t="s">
        <v>289</v>
      </c>
      <c r="C26" s="16" t="n">
        <v>1</v>
      </c>
      <c r="D26" s="12" t="s">
        <v>209</v>
      </c>
      <c r="E26" s="17" t="n">
        <v>12.3</v>
      </c>
      <c r="F26" s="18" t="n">
        <f aca="false">C26*E26</f>
        <v>12.3</v>
      </c>
      <c r="G26" s="19" t="n">
        <f aca="false">F26*IF(D26="TPU",$B$5,$B$4)*$B$6</f>
        <v>8.59155</v>
      </c>
      <c r="H26" s="12" t="s">
        <v>290</v>
      </c>
      <c r="I26" s="12" t="s">
        <v>291</v>
      </c>
    </row>
    <row r="27" customFormat="false" ht="15" hidden="false" customHeight="false" outlineLevel="0" collapsed="false">
      <c r="A27" s="12" t="s">
        <v>292</v>
      </c>
      <c r="B27" s="12" t="s">
        <v>289</v>
      </c>
      <c r="C27" s="16" t="n">
        <v>5</v>
      </c>
      <c r="D27" s="12" t="s">
        <v>209</v>
      </c>
      <c r="E27" s="17" t="n">
        <v>32.3</v>
      </c>
      <c r="F27" s="18" t="n">
        <f aca="false">C27*E27</f>
        <v>161.5</v>
      </c>
      <c r="G27" s="19" t="n">
        <f aca="false">F27*IF(D27="TPU",$B$5,$B$4)*$B$6</f>
        <v>112.80775</v>
      </c>
      <c r="H27" s="12" t="s">
        <v>293</v>
      </c>
      <c r="I27" s="12" t="s">
        <v>294</v>
      </c>
    </row>
    <row r="29" customFormat="false" ht="15" hidden="false" customHeight="false" outlineLevel="0" collapsed="false">
      <c r="A29" s="10" t="s">
        <v>295</v>
      </c>
      <c r="F29" s="20" t="n">
        <f aca="false">SUMIFS(F11:F27,D11:D27,"PETG")</f>
        <v>1203.8</v>
      </c>
      <c r="G29" s="21" t="n">
        <f aca="false">SUMIFS(G11:G27,D11:D27,"PETG")</f>
        <v>840.8543</v>
      </c>
    </row>
    <row r="30" customFormat="false" ht="15" hidden="false" customHeight="false" outlineLevel="0" collapsed="false">
      <c r="A30" s="10" t="s">
        <v>296</v>
      </c>
      <c r="F30" s="20" t="n">
        <f aca="false">SUMIFS(F11:F27,D11:D27,"TPU")</f>
        <v>25</v>
      </c>
      <c r="G30" s="21" t="n">
        <f aca="false">SUMIFS(G11:G27,D11:D27,"TPU")</f>
        <v>16.6375</v>
      </c>
    </row>
    <row r="31" customFormat="false" ht="15" hidden="false" customHeight="false" outlineLevel="0" collapsed="false">
      <c r="A31" s="10" t="s">
        <v>297</v>
      </c>
      <c r="C31" s="10" t="n">
        <f aca="false">SUM(C11:C27)</f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22" t="s">
        <v>298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4" t="s">
        <v>299</v>
      </c>
    </row>
    <row r="4" customFormat="false" ht="15" hidden="false" customHeight="false" outlineLevel="0" collapsed="false">
      <c r="A4" s="23" t="s">
        <v>300</v>
      </c>
    </row>
    <row r="5" customFormat="false" ht="26.85" hidden="false" customHeight="false" outlineLevel="0" collapsed="false">
      <c r="A5" s="23" t="s">
        <v>301</v>
      </c>
    </row>
    <row r="6" customFormat="false" ht="15" hidden="false" customHeight="false" outlineLevel="0" collapsed="false">
      <c r="A6" s="23" t="s">
        <v>302</v>
      </c>
    </row>
    <row r="7" customFormat="false" ht="15" hidden="false" customHeight="false" outlineLevel="0" collapsed="false">
      <c r="A7" s="23" t="s">
        <v>303</v>
      </c>
    </row>
    <row r="8" customFormat="false" ht="26.85" hidden="false" customHeight="false" outlineLevel="0" collapsed="false">
      <c r="A8" s="23" t="s">
        <v>304</v>
      </c>
    </row>
    <row r="9" customFormat="false" ht="52.2" hidden="false" customHeight="false" outlineLevel="0" collapsed="false">
      <c r="A9" s="23" t="s">
        <v>305</v>
      </c>
    </row>
    <row r="10" customFormat="false" ht="26.85" hidden="false" customHeight="false" outlineLevel="0" collapsed="false">
      <c r="A10" s="23" t="s">
        <v>306</v>
      </c>
    </row>
    <row r="11" customFormat="false" ht="15" hidden="false" customHeight="false" outlineLevel="0" collapsed="false">
      <c r="A11" s="23"/>
    </row>
    <row r="12" customFormat="false" ht="15" hidden="false" customHeight="false" outlineLevel="0" collapsed="false">
      <c r="A12" s="24" t="s">
        <v>307</v>
      </c>
    </row>
    <row r="13" customFormat="false" ht="15" hidden="false" customHeight="false" outlineLevel="0" collapsed="false">
      <c r="A13" s="23" t="s">
        <v>308</v>
      </c>
    </row>
    <row r="14" customFormat="false" ht="15" hidden="false" customHeight="false" outlineLevel="0" collapsed="false">
      <c r="A14" s="23" t="s">
        <v>309</v>
      </c>
    </row>
    <row r="15" customFormat="false" ht="15" hidden="false" customHeight="false" outlineLevel="0" collapsed="false">
      <c r="A15" s="23" t="s">
        <v>310</v>
      </c>
    </row>
    <row r="16" customFormat="false" ht="26.85" hidden="false" customHeight="false" outlineLevel="0" collapsed="false">
      <c r="A16" s="23" t="s">
        <v>311</v>
      </c>
    </row>
    <row r="17" customFormat="false" ht="15" hidden="false" customHeight="false" outlineLevel="0" collapsed="false">
      <c r="A17" s="23"/>
    </row>
    <row r="18" customFormat="false" ht="15" hidden="false" customHeight="false" outlineLevel="0" collapsed="false">
      <c r="A18" s="24" t="s">
        <v>312</v>
      </c>
    </row>
    <row r="19" customFormat="false" ht="15" hidden="false" customHeight="false" outlineLevel="0" collapsed="false">
      <c r="A19" s="23" t="s">
        <v>313</v>
      </c>
    </row>
    <row r="20" customFormat="false" ht="15" hidden="false" customHeight="false" outlineLevel="0" collapsed="false">
      <c r="A20" s="23" t="s">
        <v>314</v>
      </c>
    </row>
    <row r="21" customFormat="false" ht="15" hidden="false" customHeight="false" outlineLevel="0" collapsed="false">
      <c r="A21" s="23" t="s">
        <v>315</v>
      </c>
    </row>
    <row r="22" customFormat="false" ht="15" hidden="false" customHeight="false" outlineLevel="0" collapsed="false">
      <c r="A22" s="23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2026-10-08T23:41:46Z</dcterms:created>
  <dc:creator>openpyxl</dc:creator>
  <dc:description/>
  <dc:language>en-US</dc:language>
  <cp:lastModifiedBy/>
  <dcterms:modified xsi:type="dcterms:W3CDTF">2026-10-08T23:41:46Z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